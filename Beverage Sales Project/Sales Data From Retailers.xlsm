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slicers/slicer2.xml" ContentType="application/vnd.ms-excel.slicer+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codeName="{6A26FB3C-EA34-E94E-B44F-155022A03E17}"/>
  <workbookPr codeName="ThisWorkbook" hidePivotFieldList="1"/>
  <mc:AlternateContent xmlns:mc="http://schemas.openxmlformats.org/markup-compatibility/2006">
    <mc:Choice Requires="x15">
      <x15ac:absPath xmlns:x15ac="http://schemas.microsoft.com/office/spreadsheetml/2010/11/ac" url="/Users/isabelapascoal12/Downloads/"/>
    </mc:Choice>
  </mc:AlternateContent>
  <xr:revisionPtr revIDLastSave="0" documentId="13_ncr:1_{F646AD70-7B60-7344-8EEB-229FE72D4B67}" xr6:coauthVersionLast="47" xr6:coauthVersionMax="47" xr10:uidLastSave="{00000000-0000-0000-0000-000000000000}"/>
  <bookViews>
    <workbookView xWindow="20" yWindow="740" windowWidth="29400" windowHeight="18380" xr2:uid="{D256572B-0334-4A01-B8A2-80CF2724B216}"/>
  </bookViews>
  <sheets>
    <sheet name="Dashboard" sheetId="3" r:id="rId1"/>
    <sheet name="Data" sheetId="2" r:id="rId2"/>
    <sheet name="Pivot" sheetId="4" r:id="rId3"/>
    <sheet name="Charts" sheetId="5" r:id="rId4"/>
  </sheets>
  <definedNames>
    <definedName name="ExternalData_1" localSheetId="1" hidden="1">Data!$A$1:$M$289</definedName>
    <definedName name="Slicer_Retailer1">#N/A</definedName>
  </definedNames>
  <calcPr calcId="191029"/>
  <pivotCaches>
    <pivotCache cacheId="35" r:id="rId5"/>
    <pivotCache cacheId="34"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D71EA9-5992-4422-A900-F7BF3D66158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2" xr16:uid="{088752E3-07F0-4D6C-A5D5-1DF90FED07E8}" keepAlive="1" name="Query - Retailers" description="Connection to the 'Retailers' query in the workbook." type="5" refreshedVersion="8" background="1" saveData="1">
    <dbPr connection="Provider=Microsoft.Mashup.OleDb.1;Data Source=$Workbook$;Location=Retailers;Extended Properties=&quot;&quot;" command="SELECT * FROM [Retailers]"/>
  </connection>
  <connection id="3" xr16:uid="{DD52E623-8A29-43F0-BCA2-653235B0CB6E}" keepAlive="1" name="Query - Retailers (2)" description="Connection to the 'Retailers (2)' query in the workbook." type="5" refreshedVersion="8" background="1" saveData="1">
    <dbPr connection="Provider=Microsoft.Mashup.OleDb.1;Data Source=$Workbook$;Location=&quot;Retailers (2)&quot;;Extended Properties=&quot;&quot;" command="SELECT * FROM [Retailers (2)]"/>
  </connection>
  <connection id="4" xr16:uid="{16851448-1618-45AC-A27B-49C13A2209C9}"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5" xr16:uid="{062EFA4B-5860-4854-BBD0-F8966ECCACE4}"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6" xr16:uid="{43B8B644-FF8B-4881-91E0-C84B19947E2F}"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sharedStrings.xml><?xml version="1.0" encoding="utf-8"?>
<sst xmlns="http://schemas.openxmlformats.org/spreadsheetml/2006/main" count="1819" uniqueCount="53">
  <si>
    <t>Retailer</t>
  </si>
  <si>
    <t>Contact</t>
  </si>
  <si>
    <t>Retailer ID</t>
  </si>
  <si>
    <t>Order Date</t>
  </si>
  <si>
    <t>Payment Date</t>
  </si>
  <si>
    <t>Beverage Brand</t>
  </si>
  <si>
    <t>Price per Unit</t>
  </si>
  <si>
    <t>Units Sold</t>
  </si>
  <si>
    <t>Costco</t>
  </si>
  <si>
    <t>Coca-Cola</t>
  </si>
  <si>
    <t>Diet Coke</t>
  </si>
  <si>
    <t>Sprite</t>
  </si>
  <si>
    <t>Fanta</t>
  </si>
  <si>
    <t>Powerade</t>
  </si>
  <si>
    <t>Dasani Water</t>
  </si>
  <si>
    <t>Target</t>
  </si>
  <si>
    <t>Walgreens</t>
  </si>
  <si>
    <t>Walmart</t>
  </si>
  <si>
    <t>Region</t>
  </si>
  <si>
    <t>State</t>
  </si>
  <si>
    <t>Days to Payment</t>
  </si>
  <si>
    <t>Revenue</t>
  </si>
  <si>
    <t>Month Name</t>
  </si>
  <si>
    <t>Ana</t>
  </si>
  <si>
    <t>West</t>
  </si>
  <si>
    <t>California</t>
  </si>
  <si>
    <t>February</t>
  </si>
  <si>
    <t>March</t>
  </si>
  <si>
    <t>April</t>
  </si>
  <si>
    <t>May</t>
  </si>
  <si>
    <t>June</t>
  </si>
  <si>
    <t>July</t>
  </si>
  <si>
    <t>August</t>
  </si>
  <si>
    <t>September</t>
  </si>
  <si>
    <t>October</t>
  </si>
  <si>
    <t>November</t>
  </si>
  <si>
    <t>December</t>
  </si>
  <si>
    <t>January</t>
  </si>
  <si>
    <t>Stuart</t>
  </si>
  <si>
    <t>South</t>
  </si>
  <si>
    <t>Texas</t>
  </si>
  <si>
    <t>Maria</t>
  </si>
  <si>
    <t>Allen</t>
  </si>
  <si>
    <t>Northeast</t>
  </si>
  <si>
    <t>New York</t>
  </si>
  <si>
    <t>Total Revenue</t>
  </si>
  <si>
    <t>Total Units Sold</t>
  </si>
  <si>
    <t>Average Price per Unit</t>
  </si>
  <si>
    <t>Grand Total</t>
  </si>
  <si>
    <t>Top Beverage by Revenue</t>
  </si>
  <si>
    <t>Average Days to Payment</t>
  </si>
  <si>
    <t>Row Labels</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</si>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</sst>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00"/>
    <numFmt numFmtId="167" formatCode="_(* #,##0_);_(* \(#,##0\);_(* &quot;-&quot;??_);_(@_)"/>
  </numFmts>
  <fonts count="4" x14ac:knownFonts="1">
    <font>
      <sz val="11"/>
      <color theme="1"/>
      <name val="Verdana"/>
      <family val="2"/>
      <scheme val="minor"/>
    </font>
    <font>
      <sz val="8"/>
      <name val="Verdana"/>
      <family val="2"/>
      <scheme val="minor"/>
    </font>
    <font>
      <sz val="18"/>
      <color theme="1"/>
      <name val="Verdana"/>
      <family val="2"/>
      <scheme val="minor"/>
    </font>
    <font>
      <sz val="12"/>
      <color rgb="FF000000"/>
      <name val="Aptos Narrow"/>
    </font>
  </fonts>
  <fills count="5">
    <fill>
      <patternFill patternType="none"/>
    </fill>
    <fill>
      <patternFill patternType="gray125"/>
    </fill>
    <fill>
      <patternFill patternType="solid">
        <fgColor theme="0" tint="-4.9989318521683403E-2"/>
        <bgColor indexed="64"/>
      </patternFill>
    </fill>
    <fill>
      <patternFill patternType="solid">
        <fgColor theme="4"/>
        <bgColor indexed="64"/>
      </patternFill>
    </fill>
    <fill>
      <patternFill patternType="solid">
        <fgColor theme="0"/>
        <bgColor indexed="64"/>
      </patternFill>
    </fill>
  </fills>
  <borders count="1">
    <border>
      <left/>
      <right/>
      <top/>
      <bottom/>
      <diagonal/>
    </border>
  </borders>
  <cellStyleXfs count="1">
    <xf numFmtId="0" fontId="0" fillId="0" borderId="0"/>
  </cellStyleXfs>
  <cellXfs count="12">
    <xf numFmtId="0" fontId="0" fillId="0" borderId="0" xfId="0"/>
    <xf numFmtId="14" fontId="0" fillId="0" borderId="0" xfId="0" applyNumberFormat="1"/>
    <xf numFmtId="0" fontId="0" fillId="2" borderId="0" xfId="0" applyFill="1"/>
    <xf numFmtId="0" fontId="0" fillId="0" borderId="0" xfId="0" pivotButton="1"/>
    <xf numFmtId="164" fontId="0" fillId="0" borderId="0" xfId="0" applyNumberFormat="1"/>
    <xf numFmtId="4" fontId="0" fillId="0" borderId="0" xfId="0" applyNumberFormat="1"/>
    <xf numFmtId="0" fontId="0" fillId="0" borderId="0" xfId="0" applyAlignment="1">
      <alignment horizontal="left"/>
    </xf>
    <xf numFmtId="0" fontId="0" fillId="0" borderId="0" xfId="0" applyNumberFormat="1"/>
    <xf numFmtId="167" fontId="0" fillId="0" borderId="0" xfId="0" applyNumberFormat="1"/>
    <xf numFmtId="0" fontId="0" fillId="3" borderId="0" xfId="0" applyFill="1"/>
    <xf numFmtId="0" fontId="2" fillId="3" borderId="0" xfId="0" applyFont="1" applyFill="1" applyAlignment="1">
      <alignment horizontal="center" vertical="center"/>
    </xf>
    <xf numFmtId="0" fontId="0" fillId="4" borderId="0" xfId="0" applyFill="1"/>
  </cellXfs>
  <cellStyles count="1">
    <cellStyle name="Normal" xfId="0" builtinId="0"/>
  </cellStyles>
  <dxfs count="18">
    <dxf>
      <numFmt numFmtId="167" formatCode="_(* #,##0_);_(* \(#,##0\);_(* &quot;-&quot;??_);_(@_)"/>
    </dxf>
    <dxf>
      <numFmt numFmtId="167" formatCode="_(* #,##0_);_(* \(#,##0\);_(* &quot;-&quot;??_);_(@_)"/>
    </dxf>
    <dxf>
      <numFmt numFmtId="167" formatCode="_(* #,##0_);_(* \(#,##0\);_(* &quot;-&quot;??_);_(@_)"/>
    </dxf>
    <dxf>
      <numFmt numFmtId="167" formatCode="_(* #,##0_);_(* \(#,##0\);_(* &quot;-&quot;??_);_(@_)"/>
    </dxf>
    <dxf>
      <font>
        <b/>
        <color theme="1"/>
      </font>
      <border>
        <bottom style="thin">
          <color theme="8"/>
        </bottom>
        <vertical/>
        <horizontal/>
      </border>
    </dxf>
    <dxf>
      <font>
        <color theme="1"/>
      </font>
      <border diagonalUp="0" diagonalDown="0">
        <left/>
        <right/>
        <top/>
        <bottom/>
        <vertical/>
        <horizontal/>
      </border>
    </dxf>
    <dxf>
      <font>
        <b/>
        <color theme="1"/>
      </font>
      <border>
        <bottom style="thin">
          <color theme="5"/>
        </bottom>
        <vertical/>
        <horizontal/>
      </border>
    </dxf>
    <dxf>
      <font>
        <color theme="1"/>
      </font>
      <border diagonalUp="0">
        <left/>
        <right/>
        <top/>
        <bottom/>
        <vertical/>
        <horizontal/>
      </border>
    </dxf>
    <dxf>
      <numFmt numFmtId="167" formatCode="_(* #,##0_);_(* \(#,##0\);_(* &quot;-&quot;??_);_(@_)"/>
    </dxf>
    <dxf>
      <numFmt numFmtId="167" formatCode="_(* #,##0_);_(* \(#,##0\);_(* &quot;-&quot;??_);_(@_)"/>
    </dxf>
    <dxf>
      <numFmt numFmtId="0" formatCode="General"/>
    </dxf>
    <dxf>
      <numFmt numFmtId="0" formatCode="General"/>
    </dxf>
    <dxf>
      <numFmt numFmtId="0" formatCode="General"/>
    </dxf>
    <dxf>
      <numFmt numFmtId="0" formatCode="General"/>
    </dxf>
    <dxf>
      <numFmt numFmtId="165" formatCode="m/d/yyyy"/>
    </dxf>
    <dxf>
      <numFmt numFmtId="165" formatCode="m/d/yyyy"/>
    </dxf>
    <dxf>
      <numFmt numFmtId="0" formatCode="General"/>
    </dxf>
    <dxf>
      <numFmt numFmtId="0" formatCode="General"/>
    </dxf>
  </dxfs>
  <tableStyles count="3" defaultTableStyle="TableStyleMedium2" defaultPivotStyle="PivotStyleLight16">
    <tableStyle name="Invisible" pivot="0" table="0" count="0" xr9:uid="{F8A9EC6B-9A1C-40F9-837E-5151B9A262D4}"/>
    <tableStyle name="SlicerStyleLight2 2" pivot="0" table="0" count="10" xr9:uid="{09A21619-3656-B248-8925-F2C15C7984F3}">
      <tableStyleElement type="wholeTable" dxfId="7"/>
      <tableStyleElement type="headerRow" dxfId="6"/>
    </tableStyle>
    <tableStyle name="SlicerStyleLight5 2" pivot="0" table="0" count="10" xr9:uid="{403F4EBE-8725-BB43-810B-9133D6D44F75}">
      <tableStyleElement type="wholeTable" dxfId="5"/>
      <tableStyleElement type="headerRow" dxfId="4"/>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theme="8"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From Retailers.xlsm]Charts!PivotTable1</c:name>
    <c:fmtId val="2"/>
  </c:pivotSource>
  <c:chart>
    <c:autoTitleDeleted val="1"/>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spPr>
          <a:gradFill flip="none" rotWithShape="1">
            <a:gsLst>
              <a:gs pos="100000">
                <a:schemeClr val="accent1">
                  <a:lumMod val="20000"/>
                  <a:lumOff val="80000"/>
                </a:schemeClr>
              </a:gs>
              <a:gs pos="75000">
                <a:schemeClr val="accent1">
                  <a:lumMod val="60000"/>
                  <a:lumOff val="40000"/>
                </a:schemeClr>
              </a:gs>
              <a:gs pos="0">
                <a:schemeClr val="accent1">
                  <a:lumMod val="50000"/>
                </a:schemeClr>
              </a:gs>
            </a:gsLst>
            <a:lin ang="5400000" scaled="1"/>
            <a:tileRect/>
          </a:gradFill>
        </c:spPr>
      </c:pivotFmt>
      <c:pivotFmt>
        <c:idx val="5"/>
        <c:spPr>
          <a:gradFill>
            <a:gsLst>
              <a:gs pos="100000">
                <a:schemeClr val="accent2">
                  <a:lumMod val="20000"/>
                  <a:lumOff val="80000"/>
                </a:schemeClr>
              </a:gs>
              <a:gs pos="75000">
                <a:schemeClr val="accent2">
                  <a:lumMod val="60000"/>
                  <a:lumOff val="40000"/>
                </a:schemeClr>
              </a:gs>
              <a:gs pos="0">
                <a:schemeClr val="accent2">
                  <a:lumMod val="50000"/>
                </a:schemeClr>
              </a:gs>
            </a:gsLst>
            <a:lin ang="5400000" scaled="1"/>
          </a:gradFill>
        </c:spPr>
      </c:pivotFmt>
      <c:pivotFmt>
        <c:idx val="6"/>
        <c:spPr>
          <a:gradFill>
            <a:gsLst>
              <a:gs pos="100000">
                <a:schemeClr val="accent3">
                  <a:lumMod val="20000"/>
                  <a:lumOff val="80000"/>
                </a:schemeClr>
              </a:gs>
              <a:gs pos="75000">
                <a:schemeClr val="accent3">
                  <a:lumMod val="60000"/>
                  <a:lumOff val="40000"/>
                </a:schemeClr>
              </a:gs>
              <a:gs pos="0">
                <a:schemeClr val="accent3">
                  <a:lumMod val="50000"/>
                </a:schemeClr>
              </a:gs>
            </a:gsLst>
            <a:lin ang="5400000" scaled="1"/>
          </a:gradFill>
        </c:spPr>
      </c:pivotFmt>
      <c:pivotFmt>
        <c:idx val="7"/>
        <c:spPr>
          <a:gradFill>
            <a:gsLst>
              <a:gs pos="99000">
                <a:schemeClr val="accent4">
                  <a:lumMod val="20000"/>
                  <a:lumOff val="80000"/>
                </a:schemeClr>
              </a:gs>
              <a:gs pos="75000">
                <a:schemeClr val="accent4">
                  <a:lumMod val="60000"/>
                  <a:lumOff val="40000"/>
                </a:schemeClr>
              </a:gs>
              <a:gs pos="0">
                <a:schemeClr val="accent4">
                  <a:lumMod val="50000"/>
                </a:schemeClr>
              </a:gs>
            </a:gsLst>
            <a:lin ang="5400000" scaled="1"/>
          </a:gradFill>
        </c:spPr>
      </c:pivotFmt>
      <c:pivotFmt>
        <c:idx val="8"/>
        <c:spPr>
          <a:gradFill>
            <a:gsLst>
              <a:gs pos="99000">
                <a:schemeClr val="accent5">
                  <a:lumMod val="20000"/>
                  <a:lumOff val="80000"/>
                </a:schemeClr>
              </a:gs>
              <a:gs pos="75000">
                <a:schemeClr val="accent5">
                  <a:lumMod val="60000"/>
                  <a:lumOff val="40000"/>
                </a:schemeClr>
              </a:gs>
              <a:gs pos="0">
                <a:schemeClr val="accent5">
                  <a:lumMod val="50000"/>
                </a:schemeClr>
              </a:gs>
            </a:gsLst>
            <a:lin ang="5400000" scaled="1"/>
          </a:gradFill>
        </c:spPr>
      </c:pivotFmt>
      <c:pivotFmt>
        <c:idx val="9"/>
        <c:spPr>
          <a:gradFill>
            <a:gsLst>
              <a:gs pos="99000">
                <a:schemeClr val="accent6">
                  <a:lumMod val="20000"/>
                  <a:lumOff val="80000"/>
                </a:schemeClr>
              </a:gs>
              <a:gs pos="75000">
                <a:schemeClr val="accent6">
                  <a:lumMod val="60000"/>
                  <a:lumOff val="40000"/>
                </a:schemeClr>
              </a:gs>
              <a:gs pos="0">
                <a:schemeClr val="accent6">
                  <a:lumMod val="50000"/>
                </a:schemeClr>
              </a:gs>
            </a:gsLst>
            <a:lin ang="5400000" scaled="1"/>
          </a:gradFill>
        </c:spPr>
      </c:pivotFmt>
    </c:pivotFmts>
    <c:plotArea>
      <c:layout/>
      <c:barChart>
        <c:barDir val="col"/>
        <c:grouping val="clustered"/>
        <c:varyColors val="1"/>
        <c:ser>
          <c:idx val="0"/>
          <c:order val="0"/>
          <c:tx>
            <c:strRef>
              <c:f>Charts!$B$1</c:f>
              <c:strCache>
                <c:ptCount val="1"/>
                <c:pt idx="0">
                  <c:v>Total</c:v>
                </c:pt>
              </c:strCache>
            </c:strRef>
          </c:tx>
          <c:invertIfNegative val="0"/>
          <c:dPt>
            <c:idx val="0"/>
            <c:invertIfNegative val="0"/>
            <c:bubble3D val="0"/>
            <c:spPr>
              <a:gradFill flip="none" rotWithShape="1">
                <a:gsLst>
                  <a:gs pos="100000">
                    <a:schemeClr val="accent1">
                      <a:lumMod val="20000"/>
                      <a:lumOff val="80000"/>
                    </a:schemeClr>
                  </a:gs>
                  <a:gs pos="75000">
                    <a:schemeClr val="accent1">
                      <a:lumMod val="60000"/>
                      <a:lumOff val="40000"/>
                    </a:schemeClr>
                  </a:gs>
                  <a:gs pos="0">
                    <a:schemeClr val="accent1">
                      <a:lumMod val="50000"/>
                    </a:schemeClr>
                  </a:gs>
                </a:gsLst>
                <a:lin ang="5400000" scaled="1"/>
                <a:tileRect/>
              </a:gradFill>
            </c:spPr>
            <c:extLst>
              <c:ext xmlns:c16="http://schemas.microsoft.com/office/drawing/2014/chart" uri="{C3380CC4-5D6E-409C-BE32-E72D297353CC}">
                <c16:uniqueId val="{00000002-8962-1247-9941-BD6104376936}"/>
              </c:ext>
            </c:extLst>
          </c:dPt>
          <c:dPt>
            <c:idx val="1"/>
            <c:invertIfNegative val="0"/>
            <c:bubble3D val="0"/>
            <c:spPr>
              <a:gradFill>
                <a:gsLst>
                  <a:gs pos="100000">
                    <a:schemeClr val="accent2">
                      <a:lumMod val="20000"/>
                      <a:lumOff val="80000"/>
                    </a:schemeClr>
                  </a:gs>
                  <a:gs pos="75000">
                    <a:schemeClr val="accent2">
                      <a:lumMod val="60000"/>
                      <a:lumOff val="40000"/>
                    </a:schemeClr>
                  </a:gs>
                  <a:gs pos="0">
                    <a:schemeClr val="accent2">
                      <a:lumMod val="50000"/>
                    </a:schemeClr>
                  </a:gs>
                </a:gsLst>
                <a:lin ang="5400000" scaled="1"/>
              </a:gradFill>
            </c:spPr>
            <c:extLst>
              <c:ext xmlns:c16="http://schemas.microsoft.com/office/drawing/2014/chart" uri="{C3380CC4-5D6E-409C-BE32-E72D297353CC}">
                <c16:uniqueId val="{00000003-8962-1247-9941-BD6104376936}"/>
              </c:ext>
            </c:extLst>
          </c:dPt>
          <c:dPt>
            <c:idx val="2"/>
            <c:invertIfNegative val="0"/>
            <c:bubble3D val="0"/>
            <c:spPr>
              <a:gradFill>
                <a:gsLst>
                  <a:gs pos="100000">
                    <a:schemeClr val="accent3">
                      <a:lumMod val="20000"/>
                      <a:lumOff val="80000"/>
                    </a:schemeClr>
                  </a:gs>
                  <a:gs pos="75000">
                    <a:schemeClr val="accent3">
                      <a:lumMod val="60000"/>
                      <a:lumOff val="40000"/>
                    </a:schemeClr>
                  </a:gs>
                  <a:gs pos="0">
                    <a:schemeClr val="accent3">
                      <a:lumMod val="50000"/>
                    </a:schemeClr>
                  </a:gs>
                </a:gsLst>
                <a:lin ang="5400000" scaled="1"/>
              </a:gradFill>
            </c:spPr>
            <c:extLst>
              <c:ext xmlns:c16="http://schemas.microsoft.com/office/drawing/2014/chart" uri="{C3380CC4-5D6E-409C-BE32-E72D297353CC}">
                <c16:uniqueId val="{00000004-8962-1247-9941-BD6104376936}"/>
              </c:ext>
            </c:extLst>
          </c:dPt>
          <c:dPt>
            <c:idx val="3"/>
            <c:invertIfNegative val="0"/>
            <c:bubble3D val="0"/>
            <c:spPr>
              <a:gradFill>
                <a:gsLst>
                  <a:gs pos="99000">
                    <a:schemeClr val="accent4">
                      <a:lumMod val="20000"/>
                      <a:lumOff val="80000"/>
                    </a:schemeClr>
                  </a:gs>
                  <a:gs pos="75000">
                    <a:schemeClr val="accent4">
                      <a:lumMod val="60000"/>
                      <a:lumOff val="40000"/>
                    </a:schemeClr>
                  </a:gs>
                  <a:gs pos="0">
                    <a:schemeClr val="accent4">
                      <a:lumMod val="50000"/>
                    </a:schemeClr>
                  </a:gs>
                </a:gsLst>
                <a:lin ang="5400000" scaled="1"/>
              </a:gradFill>
            </c:spPr>
            <c:extLst>
              <c:ext xmlns:c16="http://schemas.microsoft.com/office/drawing/2014/chart" uri="{C3380CC4-5D6E-409C-BE32-E72D297353CC}">
                <c16:uniqueId val="{00000005-8962-1247-9941-BD6104376936}"/>
              </c:ext>
            </c:extLst>
          </c:dPt>
          <c:dPt>
            <c:idx val="4"/>
            <c:invertIfNegative val="0"/>
            <c:bubble3D val="0"/>
            <c:spPr>
              <a:gradFill>
                <a:gsLst>
                  <a:gs pos="99000">
                    <a:schemeClr val="accent5">
                      <a:lumMod val="20000"/>
                      <a:lumOff val="80000"/>
                    </a:schemeClr>
                  </a:gs>
                  <a:gs pos="75000">
                    <a:schemeClr val="accent5">
                      <a:lumMod val="60000"/>
                      <a:lumOff val="40000"/>
                    </a:schemeClr>
                  </a:gs>
                  <a:gs pos="0">
                    <a:schemeClr val="accent5">
                      <a:lumMod val="50000"/>
                    </a:schemeClr>
                  </a:gs>
                </a:gsLst>
                <a:lin ang="5400000" scaled="1"/>
              </a:gradFill>
            </c:spPr>
            <c:extLst>
              <c:ext xmlns:c16="http://schemas.microsoft.com/office/drawing/2014/chart" uri="{C3380CC4-5D6E-409C-BE32-E72D297353CC}">
                <c16:uniqueId val="{00000006-8962-1247-9941-BD6104376936}"/>
              </c:ext>
            </c:extLst>
          </c:dPt>
          <c:dPt>
            <c:idx val="5"/>
            <c:invertIfNegative val="0"/>
            <c:bubble3D val="0"/>
            <c:spPr>
              <a:gradFill>
                <a:gsLst>
                  <a:gs pos="99000">
                    <a:schemeClr val="accent6">
                      <a:lumMod val="20000"/>
                      <a:lumOff val="80000"/>
                    </a:schemeClr>
                  </a:gs>
                  <a:gs pos="75000">
                    <a:schemeClr val="accent6">
                      <a:lumMod val="60000"/>
                      <a:lumOff val="40000"/>
                    </a:schemeClr>
                  </a:gs>
                  <a:gs pos="0">
                    <a:schemeClr val="accent6">
                      <a:lumMod val="50000"/>
                    </a:schemeClr>
                  </a:gs>
                </a:gsLst>
                <a:lin ang="5400000" scaled="1"/>
              </a:gradFill>
            </c:spPr>
            <c:extLst>
              <c:ext xmlns:c16="http://schemas.microsoft.com/office/drawing/2014/chart" uri="{C3380CC4-5D6E-409C-BE32-E72D297353CC}">
                <c16:uniqueId val="{00000007-8962-1247-9941-BD6104376936}"/>
              </c:ext>
            </c:extLst>
          </c:dPt>
          <c:cat>
            <c:strRef>
              <c:f>Charts!$A$2:$A$8</c:f>
              <c:strCache>
                <c:ptCount val="6"/>
                <c:pt idx="0">
                  <c:v>Coca-Cola</c:v>
                </c:pt>
                <c:pt idx="1">
                  <c:v>Dasani Water</c:v>
                </c:pt>
                <c:pt idx="2">
                  <c:v>Diet Coke</c:v>
                </c:pt>
                <c:pt idx="3">
                  <c:v>Fanta</c:v>
                </c:pt>
                <c:pt idx="4">
                  <c:v>Powerade</c:v>
                </c:pt>
                <c:pt idx="5">
                  <c:v>Sprite</c:v>
                </c:pt>
              </c:strCache>
            </c:strRef>
          </c:cat>
          <c:val>
            <c:numRef>
              <c:f>Charts!$B$2:$B$8</c:f>
              <c:numCache>
                <c:formatCode>General</c:formatCode>
                <c:ptCount val="6"/>
                <c:pt idx="0">
                  <c:v>228445</c:v>
                </c:pt>
                <c:pt idx="1">
                  <c:v>233775</c:v>
                </c:pt>
                <c:pt idx="2">
                  <c:v>214362.5</c:v>
                </c:pt>
                <c:pt idx="3">
                  <c:v>166550</c:v>
                </c:pt>
                <c:pt idx="4">
                  <c:v>181250</c:v>
                </c:pt>
                <c:pt idx="5">
                  <c:v>188635</c:v>
                </c:pt>
              </c:numCache>
            </c:numRef>
          </c:val>
          <c:extLst>
            <c:ext xmlns:c16="http://schemas.microsoft.com/office/drawing/2014/chart" uri="{C3380CC4-5D6E-409C-BE32-E72D297353CC}">
              <c16:uniqueId val="{00000000-8962-1247-9941-BD6104376936}"/>
            </c:ext>
          </c:extLst>
        </c:ser>
        <c:dLbls>
          <c:showLegendKey val="0"/>
          <c:showVal val="0"/>
          <c:showCatName val="0"/>
          <c:showSerName val="0"/>
          <c:showPercent val="0"/>
          <c:showBubbleSize val="0"/>
        </c:dLbls>
        <c:gapWidth val="80"/>
        <c:axId val="600624400"/>
        <c:axId val="609876720"/>
      </c:barChart>
      <c:catAx>
        <c:axId val="600624400"/>
        <c:scaling>
          <c:orientation val="minMax"/>
        </c:scaling>
        <c:delete val="0"/>
        <c:axPos val="b"/>
        <c:numFmt formatCode="General" sourceLinked="1"/>
        <c:majorTickMark val="out"/>
        <c:minorTickMark val="none"/>
        <c:tickLblPos val="nextTo"/>
        <c:txPr>
          <a:bodyPr/>
          <a:lstStyle/>
          <a:p>
            <a:pPr>
              <a:defRPr>
                <a:solidFill>
                  <a:schemeClr val="tx2">
                    <a:lumMod val="50000"/>
                  </a:schemeClr>
                </a:solidFill>
              </a:defRPr>
            </a:pPr>
            <a:endParaRPr lang="en-US"/>
          </a:p>
        </c:txPr>
        <c:crossAx val="609876720"/>
        <c:crosses val="autoZero"/>
        <c:auto val="1"/>
        <c:lblAlgn val="ctr"/>
        <c:lblOffset val="100"/>
        <c:noMultiLvlLbl val="0"/>
      </c:catAx>
      <c:valAx>
        <c:axId val="609876720"/>
        <c:scaling>
          <c:orientation val="minMax"/>
        </c:scaling>
        <c:delete val="0"/>
        <c:axPos val="l"/>
        <c:majorGridlines/>
        <c:numFmt formatCode="General" sourceLinked="1"/>
        <c:majorTickMark val="out"/>
        <c:minorTickMark val="none"/>
        <c:tickLblPos val="nextTo"/>
        <c:txPr>
          <a:bodyPr/>
          <a:lstStyle/>
          <a:p>
            <a:pPr>
              <a:defRPr>
                <a:solidFill>
                  <a:schemeClr val="tx2">
                    <a:lumMod val="50000"/>
                  </a:schemeClr>
                </a:solidFill>
              </a:defRPr>
            </a:pPr>
            <a:endParaRPr lang="en-US"/>
          </a:p>
        </c:txPr>
        <c:crossAx val="600624400"/>
        <c:crosses val="autoZero"/>
        <c:crossBetween val="between"/>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From Retailers.xlsm]Charts!PivotTable2</c:name>
    <c:fmtId val="2"/>
  </c:pivotSource>
  <c:chart>
    <c:autoTitleDeleted val="1"/>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
        <c:idx val="3"/>
        <c:spPr>
          <a:ln>
            <a:solidFill>
              <a:schemeClr val="tx2"/>
            </a:solidFill>
          </a:ln>
        </c:spPr>
        <c:marker>
          <c:symbol val="diamond"/>
          <c:size val="6"/>
          <c:spPr>
            <a:solidFill>
              <a:schemeClr val="tx2"/>
            </a:solidFill>
            <a:ln>
              <a:solidFill>
                <a:schemeClr val="tx2"/>
              </a:solidFill>
            </a:ln>
          </c:spPr>
        </c:marker>
        <c:dLbl>
          <c:idx val="0"/>
          <c:delete val="1"/>
          <c:extLst>
            <c:ext xmlns:c15="http://schemas.microsoft.com/office/drawing/2012/chart" uri="{CE6537A1-D6FC-4f65-9D91-7224C49458BB}"/>
          </c:extLst>
        </c:dLbl>
      </c:pivotFmt>
      <c:pivotFmt>
        <c:idx val="4"/>
        <c:spPr>
          <a:ln>
            <a:gradFill flip="none" rotWithShape="1">
              <a:gsLst>
                <a:gs pos="0">
                  <a:schemeClr val="accent6">
                    <a:lumMod val="40000"/>
                    <a:lumOff val="60000"/>
                  </a:schemeClr>
                </a:gs>
                <a:gs pos="52000">
                  <a:schemeClr val="accent6">
                    <a:lumMod val="84949"/>
                    <a:lumOff val="15051"/>
                  </a:schemeClr>
                </a:gs>
                <a:gs pos="100000">
                  <a:schemeClr val="accent6">
                    <a:lumMod val="60000"/>
                  </a:schemeClr>
                </a:gs>
              </a:gsLst>
              <a:lin ang="2700000" scaled="1"/>
              <a:tileRect/>
            </a:gradFill>
          </a:ln>
        </c:spPr>
        <c:marker>
          <c:spPr>
            <a:solidFill>
              <a:schemeClr val="tx2">
                <a:lumMod val="75000"/>
              </a:schemeClr>
            </a:solidFill>
            <a:ln>
              <a:noFill/>
            </a:ln>
          </c:spPr>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Charts!$B$11</c:f>
              <c:strCache>
                <c:ptCount val="1"/>
                <c:pt idx="0">
                  <c:v>Total</c:v>
                </c:pt>
              </c:strCache>
            </c:strRef>
          </c:tx>
          <c:spPr>
            <a:ln>
              <a:gradFill flip="none" rotWithShape="1">
                <a:gsLst>
                  <a:gs pos="0">
                    <a:schemeClr val="accent6">
                      <a:lumMod val="40000"/>
                      <a:lumOff val="60000"/>
                    </a:schemeClr>
                  </a:gs>
                  <a:gs pos="52000">
                    <a:schemeClr val="accent6">
                      <a:lumMod val="84949"/>
                      <a:lumOff val="15051"/>
                    </a:schemeClr>
                  </a:gs>
                  <a:gs pos="100000">
                    <a:schemeClr val="accent6">
                      <a:lumMod val="60000"/>
                    </a:schemeClr>
                  </a:gs>
                </a:gsLst>
                <a:lin ang="2700000" scaled="1"/>
                <a:tileRect/>
              </a:gradFill>
            </a:ln>
          </c:spPr>
          <c:marker>
            <c:spPr>
              <a:solidFill>
                <a:schemeClr val="tx2">
                  <a:lumMod val="75000"/>
                </a:schemeClr>
              </a:solidFill>
              <a:ln>
                <a:noFill/>
              </a:ln>
            </c:spPr>
          </c:marker>
          <c:cat>
            <c:strRef>
              <c:f>Charts!$A$12:$A$24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Charts!$B$12:$B$24</c:f>
              <c:numCache>
                <c:formatCode>General</c:formatCode>
                <c:ptCount val="12"/>
                <c:pt idx="0">
                  <c:v>91125</c:v>
                </c:pt>
                <c:pt idx="1">
                  <c:v>74312.5</c:v>
                </c:pt>
                <c:pt idx="2">
                  <c:v>86312.5</c:v>
                </c:pt>
                <c:pt idx="3">
                  <c:v>83562.5</c:v>
                </c:pt>
                <c:pt idx="4">
                  <c:v>89637.5</c:v>
                </c:pt>
                <c:pt idx="5">
                  <c:v>98707.5</c:v>
                </c:pt>
                <c:pt idx="6">
                  <c:v>110125</c:v>
                </c:pt>
                <c:pt idx="7">
                  <c:v>114325</c:v>
                </c:pt>
                <c:pt idx="8">
                  <c:v>115950</c:v>
                </c:pt>
                <c:pt idx="9">
                  <c:v>130300</c:v>
                </c:pt>
                <c:pt idx="10">
                  <c:v>84937.5</c:v>
                </c:pt>
                <c:pt idx="11">
                  <c:v>133722.5</c:v>
                </c:pt>
              </c:numCache>
            </c:numRef>
          </c:val>
          <c:smooth val="1"/>
          <c:extLst>
            <c:ext xmlns:c16="http://schemas.microsoft.com/office/drawing/2014/chart" uri="{C3380CC4-5D6E-409C-BE32-E72D297353CC}">
              <c16:uniqueId val="{00000000-58E5-EA4A-B2B5-0FAF790B8EBD}"/>
            </c:ext>
          </c:extLst>
        </c:ser>
        <c:dLbls>
          <c:showLegendKey val="0"/>
          <c:showVal val="0"/>
          <c:showCatName val="0"/>
          <c:showSerName val="0"/>
          <c:showPercent val="0"/>
          <c:showBubbleSize val="0"/>
        </c:dLbls>
        <c:marker val="1"/>
        <c:smooth val="0"/>
        <c:axId val="600516672"/>
        <c:axId val="694600832"/>
      </c:lineChart>
      <c:catAx>
        <c:axId val="600516672"/>
        <c:scaling>
          <c:orientation val="minMax"/>
        </c:scaling>
        <c:delete val="0"/>
        <c:axPos val="b"/>
        <c:numFmt formatCode="General" sourceLinked="1"/>
        <c:majorTickMark val="out"/>
        <c:minorTickMark val="none"/>
        <c:tickLblPos val="nextTo"/>
        <c:txPr>
          <a:bodyPr/>
          <a:lstStyle/>
          <a:p>
            <a:pPr>
              <a:defRPr sz="1050">
                <a:solidFill>
                  <a:schemeClr val="tx2">
                    <a:lumMod val="50000"/>
                  </a:schemeClr>
                </a:solidFill>
                <a:latin typeface="WHITNEY-MEDIUM" pitchFamily="2" charset="77"/>
              </a:defRPr>
            </a:pPr>
            <a:endParaRPr lang="en-US"/>
          </a:p>
        </c:txPr>
        <c:crossAx val="694600832"/>
        <c:crosses val="autoZero"/>
        <c:auto val="1"/>
        <c:lblAlgn val="ctr"/>
        <c:lblOffset val="100"/>
        <c:noMultiLvlLbl val="0"/>
      </c:catAx>
      <c:valAx>
        <c:axId val="694600832"/>
        <c:scaling>
          <c:orientation val="minMax"/>
          <c:min val="60000"/>
        </c:scaling>
        <c:delete val="0"/>
        <c:axPos val="l"/>
        <c:majorGridlines/>
        <c:numFmt formatCode="General" sourceLinked="1"/>
        <c:majorTickMark val="out"/>
        <c:minorTickMark val="none"/>
        <c:tickLblPos val="nextTo"/>
        <c:txPr>
          <a:bodyPr/>
          <a:lstStyle/>
          <a:p>
            <a:pPr>
              <a:defRPr sz="1050">
                <a:solidFill>
                  <a:schemeClr val="tx2">
                    <a:lumMod val="50000"/>
                  </a:schemeClr>
                </a:solidFill>
                <a:latin typeface="WHITNEY-MEDIUM" pitchFamily="2" charset="77"/>
              </a:defRPr>
            </a:pPr>
            <a:endParaRPr lang="en-US"/>
          </a:p>
        </c:txPr>
        <c:crossAx val="600516672"/>
        <c:crosses val="autoZero"/>
        <c:crossBetween val="between"/>
        <c:majorUnit val="20000"/>
        <c:minorUnit val="10000"/>
      </c:valAx>
      <c:spPr>
        <a:solidFill>
          <a:schemeClr val="accent5">
            <a:lumMod val="40000"/>
            <a:lumOff val="60000"/>
          </a:schemeClr>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From Retailers.xlsm]Charts!PivotTable3</c:name>
    <c:fmtId val="2"/>
  </c:pivotSource>
  <c:chart>
    <c:autoTitleDeleted val="1"/>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spPr>
          <a:gradFill flip="none" rotWithShape="1">
            <a:gsLst>
              <a:gs pos="100000">
                <a:schemeClr val="accent6">
                  <a:lumMod val="40000"/>
                  <a:lumOff val="60000"/>
                </a:schemeClr>
              </a:gs>
              <a:gs pos="70000">
                <a:schemeClr val="accent6">
                  <a:lumMod val="84949"/>
                  <a:lumOff val="15051"/>
                </a:schemeClr>
              </a:gs>
              <a:gs pos="0">
                <a:schemeClr val="accent6">
                  <a:lumMod val="60000"/>
                </a:schemeClr>
              </a:gs>
            </a:gsLst>
            <a:lin ang="10800000" scaled="1"/>
            <a:tileRect/>
          </a:gradFill>
        </c:spPr>
      </c:pivotFmt>
      <c:pivotFmt>
        <c:idx val="5"/>
        <c:spPr>
          <a:gradFill>
            <a:gsLst>
              <a:gs pos="100000">
                <a:schemeClr val="accent5">
                  <a:lumMod val="20000"/>
                  <a:lumOff val="80000"/>
                </a:schemeClr>
              </a:gs>
              <a:gs pos="70000">
                <a:schemeClr val="accent5">
                  <a:lumMod val="60000"/>
                  <a:lumOff val="40000"/>
                </a:schemeClr>
              </a:gs>
              <a:gs pos="0">
                <a:schemeClr val="accent5">
                  <a:lumMod val="50000"/>
                </a:schemeClr>
              </a:gs>
            </a:gsLst>
            <a:lin ang="10800000" scaled="1"/>
          </a:gradFill>
        </c:spPr>
      </c:pivotFmt>
      <c:pivotFmt>
        <c:idx val="6"/>
        <c:spPr>
          <a:gradFill>
            <a:gsLst>
              <a:gs pos="100000">
                <a:schemeClr val="accent4">
                  <a:lumMod val="20000"/>
                  <a:lumOff val="80000"/>
                </a:schemeClr>
              </a:gs>
              <a:gs pos="70000">
                <a:schemeClr val="accent4">
                  <a:lumMod val="60000"/>
                  <a:lumOff val="40000"/>
                </a:schemeClr>
              </a:gs>
              <a:gs pos="0">
                <a:schemeClr val="accent4">
                  <a:lumMod val="50000"/>
                </a:schemeClr>
              </a:gs>
            </a:gsLst>
            <a:lin ang="10800000" scaled="1"/>
          </a:gradFill>
        </c:spPr>
      </c:pivotFmt>
      <c:pivotFmt>
        <c:idx val="7"/>
        <c:spPr>
          <a:gradFill>
            <a:gsLst>
              <a:gs pos="100000">
                <a:schemeClr val="accent3">
                  <a:lumMod val="20000"/>
                  <a:lumOff val="80000"/>
                </a:schemeClr>
              </a:gs>
              <a:gs pos="70000">
                <a:schemeClr val="accent3">
                  <a:lumMod val="60000"/>
                  <a:lumOff val="40000"/>
                </a:schemeClr>
              </a:gs>
              <a:gs pos="0">
                <a:schemeClr val="accent3">
                  <a:lumMod val="50000"/>
                </a:schemeClr>
              </a:gs>
            </a:gsLst>
            <a:lin ang="10800000" scaled="1"/>
          </a:gradFill>
        </c:spPr>
      </c:pivotFmt>
      <c:pivotFmt>
        <c:idx val="8"/>
        <c:spPr>
          <a:gradFill>
            <a:gsLst>
              <a:gs pos="100000">
                <a:schemeClr val="accent2">
                  <a:lumMod val="20000"/>
                  <a:lumOff val="80000"/>
                </a:schemeClr>
              </a:gs>
              <a:gs pos="70000">
                <a:schemeClr val="accent2">
                  <a:lumMod val="60000"/>
                  <a:lumOff val="40000"/>
                </a:schemeClr>
              </a:gs>
              <a:gs pos="0">
                <a:schemeClr val="accent2">
                  <a:lumMod val="50000"/>
                </a:schemeClr>
              </a:gs>
            </a:gsLst>
            <a:lin ang="10800000" scaled="1"/>
          </a:gradFill>
        </c:spPr>
      </c:pivotFmt>
      <c:pivotFmt>
        <c:idx val="9"/>
        <c:spPr>
          <a:gradFill>
            <a:gsLst>
              <a:gs pos="100000">
                <a:schemeClr val="accent1">
                  <a:lumMod val="20000"/>
                  <a:lumOff val="80000"/>
                </a:schemeClr>
              </a:gs>
              <a:gs pos="70000">
                <a:schemeClr val="accent1">
                  <a:lumMod val="60000"/>
                  <a:lumOff val="40000"/>
                </a:schemeClr>
              </a:gs>
              <a:gs pos="0">
                <a:schemeClr val="accent1">
                  <a:lumMod val="50000"/>
                </a:schemeClr>
              </a:gs>
            </a:gsLst>
            <a:lin ang="10800000" scaled="1"/>
          </a:gradFill>
        </c:spPr>
      </c:pivotFmt>
    </c:pivotFmts>
    <c:plotArea>
      <c:layout/>
      <c:barChart>
        <c:barDir val="bar"/>
        <c:grouping val="stacked"/>
        <c:varyColors val="1"/>
        <c:ser>
          <c:idx val="0"/>
          <c:order val="0"/>
          <c:tx>
            <c:strRef>
              <c:f>Charts!$B$27</c:f>
              <c:strCache>
                <c:ptCount val="1"/>
                <c:pt idx="0">
                  <c:v>Total</c:v>
                </c:pt>
              </c:strCache>
            </c:strRef>
          </c:tx>
          <c:invertIfNegative val="0"/>
          <c:dPt>
            <c:idx val="0"/>
            <c:invertIfNegative val="0"/>
            <c:bubble3D val="0"/>
            <c:spPr>
              <a:gradFill>
                <a:gsLst>
                  <a:gs pos="100000">
                    <a:schemeClr val="accent1">
                      <a:lumMod val="20000"/>
                      <a:lumOff val="80000"/>
                    </a:schemeClr>
                  </a:gs>
                  <a:gs pos="70000">
                    <a:schemeClr val="accent1">
                      <a:lumMod val="60000"/>
                      <a:lumOff val="40000"/>
                    </a:schemeClr>
                  </a:gs>
                  <a:gs pos="0">
                    <a:schemeClr val="accent1">
                      <a:lumMod val="50000"/>
                    </a:schemeClr>
                  </a:gs>
                </a:gsLst>
                <a:lin ang="10800000" scaled="1"/>
              </a:gradFill>
            </c:spPr>
            <c:extLst>
              <c:ext xmlns:c16="http://schemas.microsoft.com/office/drawing/2014/chart" uri="{C3380CC4-5D6E-409C-BE32-E72D297353CC}">
                <c16:uniqueId val="{00000009-6287-4F43-BFF1-520D36DEBC90}"/>
              </c:ext>
            </c:extLst>
          </c:dPt>
          <c:dPt>
            <c:idx val="1"/>
            <c:invertIfNegative val="0"/>
            <c:bubble3D val="0"/>
            <c:spPr>
              <a:gradFill>
                <a:gsLst>
                  <a:gs pos="100000">
                    <a:schemeClr val="accent2">
                      <a:lumMod val="20000"/>
                      <a:lumOff val="80000"/>
                    </a:schemeClr>
                  </a:gs>
                  <a:gs pos="70000">
                    <a:schemeClr val="accent2">
                      <a:lumMod val="60000"/>
                      <a:lumOff val="40000"/>
                    </a:schemeClr>
                  </a:gs>
                  <a:gs pos="0">
                    <a:schemeClr val="accent2">
                      <a:lumMod val="50000"/>
                    </a:schemeClr>
                  </a:gs>
                </a:gsLst>
                <a:lin ang="10800000" scaled="1"/>
              </a:gradFill>
            </c:spPr>
            <c:extLst>
              <c:ext xmlns:c16="http://schemas.microsoft.com/office/drawing/2014/chart" uri="{C3380CC4-5D6E-409C-BE32-E72D297353CC}">
                <c16:uniqueId val="{00000008-6287-4F43-BFF1-520D36DEBC90}"/>
              </c:ext>
            </c:extLst>
          </c:dPt>
          <c:dPt>
            <c:idx val="2"/>
            <c:invertIfNegative val="0"/>
            <c:bubble3D val="0"/>
            <c:spPr>
              <a:gradFill>
                <a:gsLst>
                  <a:gs pos="100000">
                    <a:schemeClr val="accent3">
                      <a:lumMod val="20000"/>
                      <a:lumOff val="80000"/>
                    </a:schemeClr>
                  </a:gs>
                  <a:gs pos="70000">
                    <a:schemeClr val="accent3">
                      <a:lumMod val="60000"/>
                      <a:lumOff val="40000"/>
                    </a:schemeClr>
                  </a:gs>
                  <a:gs pos="0">
                    <a:schemeClr val="accent3">
                      <a:lumMod val="50000"/>
                    </a:schemeClr>
                  </a:gs>
                </a:gsLst>
                <a:lin ang="10800000" scaled="1"/>
              </a:gradFill>
            </c:spPr>
            <c:extLst>
              <c:ext xmlns:c16="http://schemas.microsoft.com/office/drawing/2014/chart" uri="{C3380CC4-5D6E-409C-BE32-E72D297353CC}">
                <c16:uniqueId val="{00000007-6287-4F43-BFF1-520D36DEBC90}"/>
              </c:ext>
            </c:extLst>
          </c:dPt>
          <c:dPt>
            <c:idx val="3"/>
            <c:invertIfNegative val="0"/>
            <c:bubble3D val="0"/>
            <c:spPr>
              <a:gradFill>
                <a:gsLst>
                  <a:gs pos="100000">
                    <a:schemeClr val="accent4">
                      <a:lumMod val="20000"/>
                      <a:lumOff val="80000"/>
                    </a:schemeClr>
                  </a:gs>
                  <a:gs pos="70000">
                    <a:schemeClr val="accent4">
                      <a:lumMod val="60000"/>
                      <a:lumOff val="40000"/>
                    </a:schemeClr>
                  </a:gs>
                  <a:gs pos="0">
                    <a:schemeClr val="accent4">
                      <a:lumMod val="50000"/>
                    </a:schemeClr>
                  </a:gs>
                </a:gsLst>
                <a:lin ang="10800000" scaled="1"/>
              </a:gradFill>
            </c:spPr>
            <c:extLst>
              <c:ext xmlns:c16="http://schemas.microsoft.com/office/drawing/2014/chart" uri="{C3380CC4-5D6E-409C-BE32-E72D297353CC}">
                <c16:uniqueId val="{00000006-6287-4F43-BFF1-520D36DEBC90}"/>
              </c:ext>
            </c:extLst>
          </c:dPt>
          <c:dPt>
            <c:idx val="4"/>
            <c:invertIfNegative val="0"/>
            <c:bubble3D val="0"/>
            <c:spPr>
              <a:gradFill>
                <a:gsLst>
                  <a:gs pos="100000">
                    <a:schemeClr val="accent5">
                      <a:lumMod val="20000"/>
                      <a:lumOff val="80000"/>
                    </a:schemeClr>
                  </a:gs>
                  <a:gs pos="70000">
                    <a:schemeClr val="accent5">
                      <a:lumMod val="60000"/>
                      <a:lumOff val="40000"/>
                    </a:schemeClr>
                  </a:gs>
                  <a:gs pos="0">
                    <a:schemeClr val="accent5">
                      <a:lumMod val="50000"/>
                    </a:schemeClr>
                  </a:gs>
                </a:gsLst>
                <a:lin ang="10800000" scaled="1"/>
              </a:gradFill>
            </c:spPr>
            <c:extLst>
              <c:ext xmlns:c16="http://schemas.microsoft.com/office/drawing/2014/chart" uri="{C3380CC4-5D6E-409C-BE32-E72D297353CC}">
                <c16:uniqueId val="{00000004-6287-4F43-BFF1-520D36DEBC90}"/>
              </c:ext>
            </c:extLst>
          </c:dPt>
          <c:dPt>
            <c:idx val="5"/>
            <c:invertIfNegative val="0"/>
            <c:bubble3D val="0"/>
            <c:spPr>
              <a:gradFill flip="none" rotWithShape="1">
                <a:gsLst>
                  <a:gs pos="100000">
                    <a:schemeClr val="accent6">
                      <a:lumMod val="40000"/>
                      <a:lumOff val="60000"/>
                    </a:schemeClr>
                  </a:gs>
                  <a:gs pos="70000">
                    <a:schemeClr val="accent6">
                      <a:lumMod val="84949"/>
                      <a:lumOff val="15051"/>
                    </a:schemeClr>
                  </a:gs>
                  <a:gs pos="0">
                    <a:schemeClr val="accent6">
                      <a:lumMod val="60000"/>
                    </a:schemeClr>
                  </a:gs>
                </a:gsLst>
                <a:lin ang="10800000" scaled="1"/>
                <a:tileRect/>
              </a:gradFill>
            </c:spPr>
            <c:extLst>
              <c:ext xmlns:c16="http://schemas.microsoft.com/office/drawing/2014/chart" uri="{C3380CC4-5D6E-409C-BE32-E72D297353CC}">
                <c16:uniqueId val="{00000003-6287-4F43-BFF1-520D36DEBC90}"/>
              </c:ext>
            </c:extLst>
          </c:dPt>
          <c:cat>
            <c:strRef>
              <c:f>Charts!$A$28:$A$34</c:f>
              <c:strCache>
                <c:ptCount val="6"/>
                <c:pt idx="0">
                  <c:v>Coca-Cola</c:v>
                </c:pt>
                <c:pt idx="1">
                  <c:v>Dasani Water</c:v>
                </c:pt>
                <c:pt idx="2">
                  <c:v>Diet Coke</c:v>
                </c:pt>
                <c:pt idx="3">
                  <c:v>Fanta</c:v>
                </c:pt>
                <c:pt idx="4">
                  <c:v>Powerade</c:v>
                </c:pt>
                <c:pt idx="5">
                  <c:v>Sprite</c:v>
                </c:pt>
              </c:strCache>
            </c:strRef>
          </c:cat>
          <c:val>
            <c:numRef>
              <c:f>Charts!$B$28:$B$34</c:f>
              <c:numCache>
                <c:formatCode>General</c:formatCode>
                <c:ptCount val="6"/>
                <c:pt idx="0">
                  <c:v>461900</c:v>
                </c:pt>
                <c:pt idx="1">
                  <c:v>392750</c:v>
                </c:pt>
                <c:pt idx="2">
                  <c:v>413750</c:v>
                </c:pt>
                <c:pt idx="3">
                  <c:v>338000</c:v>
                </c:pt>
                <c:pt idx="4">
                  <c:v>318750</c:v>
                </c:pt>
                <c:pt idx="5">
                  <c:v>384700</c:v>
                </c:pt>
              </c:numCache>
            </c:numRef>
          </c:val>
          <c:extLst>
            <c:ext xmlns:c16="http://schemas.microsoft.com/office/drawing/2014/chart" uri="{C3380CC4-5D6E-409C-BE32-E72D297353CC}">
              <c16:uniqueId val="{00000002-6287-4F43-BFF1-520D36DEBC90}"/>
            </c:ext>
          </c:extLst>
        </c:ser>
        <c:dLbls>
          <c:showLegendKey val="0"/>
          <c:showVal val="0"/>
          <c:showCatName val="0"/>
          <c:showSerName val="0"/>
          <c:showPercent val="0"/>
          <c:showBubbleSize val="0"/>
        </c:dLbls>
        <c:gapWidth val="40"/>
        <c:overlap val="100"/>
        <c:axId val="609278608"/>
        <c:axId val="1691530896"/>
      </c:barChart>
      <c:catAx>
        <c:axId val="609278608"/>
        <c:scaling>
          <c:orientation val="minMax"/>
        </c:scaling>
        <c:delete val="0"/>
        <c:axPos val="l"/>
        <c:numFmt formatCode="General" sourceLinked="1"/>
        <c:majorTickMark val="out"/>
        <c:minorTickMark val="none"/>
        <c:tickLblPos val="nextTo"/>
        <c:txPr>
          <a:bodyPr/>
          <a:lstStyle/>
          <a:p>
            <a:pPr>
              <a:defRPr sz="1100">
                <a:solidFill>
                  <a:schemeClr val="tx2">
                    <a:lumMod val="50000"/>
                  </a:schemeClr>
                </a:solidFill>
                <a:latin typeface="WHITNEY-MEDIUM" pitchFamily="2" charset="77"/>
              </a:defRPr>
            </a:pPr>
            <a:endParaRPr lang="en-US"/>
          </a:p>
        </c:txPr>
        <c:crossAx val="1691530896"/>
        <c:crosses val="autoZero"/>
        <c:auto val="1"/>
        <c:lblAlgn val="ctr"/>
        <c:lblOffset val="100"/>
        <c:noMultiLvlLbl val="0"/>
      </c:catAx>
      <c:valAx>
        <c:axId val="1691530896"/>
        <c:scaling>
          <c:orientation val="minMax"/>
        </c:scaling>
        <c:delete val="0"/>
        <c:axPos val="b"/>
        <c:majorGridlines/>
        <c:numFmt formatCode="General" sourceLinked="1"/>
        <c:majorTickMark val="out"/>
        <c:minorTickMark val="none"/>
        <c:tickLblPos val="nextTo"/>
        <c:txPr>
          <a:bodyPr/>
          <a:lstStyle/>
          <a:p>
            <a:pPr>
              <a:defRPr>
                <a:solidFill>
                  <a:schemeClr val="tx2">
                    <a:lumMod val="50000"/>
                  </a:schemeClr>
                </a:solidFill>
                <a:latin typeface="WHITNEY-MEDIUM" pitchFamily="2" charset="77"/>
              </a:defRPr>
            </a:pPr>
            <a:endParaRPr lang="en-US"/>
          </a:p>
        </c:txPr>
        <c:crossAx val="609278608"/>
        <c:crosses val="autoZero"/>
        <c:crossBetween val="between"/>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From Retailers.xlsm]Charts!PivotTable5</c:name>
    <c:fmtId val="2"/>
  </c:pivotSource>
  <c:chart>
    <c:autoTitleDeleted val="1"/>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
        <c:idx val="6"/>
        <c:marker>
          <c:symbol val="none"/>
        </c:marker>
        <c:dLbl>
          <c:idx val="0"/>
          <c:delete val="1"/>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
        <c:idx val="8"/>
        <c:marker>
          <c:symbol val="none"/>
        </c:marker>
        <c:dLbl>
          <c:idx val="0"/>
          <c:delete val="1"/>
          <c:extLst>
            <c:ext xmlns:c15="http://schemas.microsoft.com/office/drawing/2012/chart" uri="{CE6537A1-D6FC-4f65-9D91-7224C49458BB}"/>
          </c:extLst>
        </c:dLbl>
      </c:pivotFmt>
      <c:pivotFmt>
        <c:idx val="9"/>
        <c:marker>
          <c:symbol val="none"/>
        </c:marker>
        <c:dLbl>
          <c:idx val="0"/>
          <c:delete val="1"/>
          <c:extLst>
            <c:ext xmlns:c15="http://schemas.microsoft.com/office/drawing/2012/chart" uri="{CE6537A1-D6FC-4f65-9D91-7224C49458BB}"/>
          </c:extLst>
        </c:dLbl>
      </c:pivotFmt>
      <c:pivotFmt>
        <c:idx val="10"/>
        <c:marker>
          <c:symbol val="none"/>
        </c:marker>
        <c:dLbl>
          <c:idx val="0"/>
          <c:delete val="1"/>
          <c:extLst>
            <c:ext xmlns:c15="http://schemas.microsoft.com/office/drawing/2012/chart" uri="{CE6537A1-D6FC-4f65-9D91-7224C49458BB}"/>
          </c:extLst>
        </c:dLbl>
      </c:pivotFmt>
      <c:pivotFmt>
        <c:idx val="11"/>
        <c:marker>
          <c:symbol val="none"/>
        </c:marker>
        <c:dLbl>
          <c:idx val="0"/>
          <c:delete val="1"/>
          <c:extLst>
            <c:ext xmlns:c15="http://schemas.microsoft.com/office/drawing/2012/chart" uri="{CE6537A1-D6FC-4f65-9D91-7224C49458BB}"/>
          </c:extLst>
        </c:dLbl>
      </c:pivotFmt>
      <c:pivotFmt>
        <c:idx val="12"/>
        <c:marker>
          <c:symbol val="none"/>
        </c:marker>
        <c:dLbl>
          <c:idx val="0"/>
          <c:delete val="1"/>
          <c:extLst>
            <c:ext xmlns:c15="http://schemas.microsoft.com/office/drawing/2012/chart" uri="{CE6537A1-D6FC-4f65-9D91-7224C49458BB}"/>
          </c:extLst>
        </c:dLbl>
      </c:pivotFmt>
      <c:pivotFmt>
        <c:idx val="13"/>
        <c:marker>
          <c:symbol val="none"/>
        </c:marker>
        <c:dLbl>
          <c:idx val="0"/>
          <c:delete val="1"/>
          <c:extLst>
            <c:ext xmlns:c15="http://schemas.microsoft.com/office/drawing/2012/chart" uri="{CE6537A1-D6FC-4f65-9D91-7224C49458BB}"/>
          </c:extLst>
        </c:dLbl>
      </c:pivotFmt>
      <c:pivotFmt>
        <c:idx val="14"/>
        <c:marker>
          <c:symbol val="none"/>
        </c:marker>
        <c:dLbl>
          <c:idx val="0"/>
          <c:delete val="1"/>
          <c:extLst>
            <c:ext xmlns:c15="http://schemas.microsoft.com/office/drawing/2012/chart" uri="{CE6537A1-D6FC-4f65-9D91-7224C49458BB}"/>
          </c:extLst>
        </c:dLbl>
      </c:pivotFmt>
      <c:pivotFmt>
        <c:idx val="15"/>
        <c:marker>
          <c:symbol val="none"/>
        </c:marker>
        <c:dLbl>
          <c:idx val="0"/>
          <c:delete val="1"/>
          <c:extLst>
            <c:ext xmlns:c15="http://schemas.microsoft.com/office/drawing/2012/chart" uri="{CE6537A1-D6FC-4f65-9D91-7224C49458BB}"/>
          </c:extLst>
        </c:dLbl>
      </c:pivotFmt>
      <c:pivotFmt>
        <c:idx val="16"/>
        <c:marker>
          <c:symbol val="none"/>
        </c:marker>
        <c:dLbl>
          <c:idx val="0"/>
          <c:delete val="1"/>
          <c:extLst>
            <c:ext xmlns:c15="http://schemas.microsoft.com/office/drawing/2012/chart" uri="{CE6537A1-D6FC-4f65-9D91-7224C49458BB}"/>
          </c:extLst>
        </c:dLbl>
      </c:pivotFmt>
      <c:pivotFmt>
        <c:idx val="17"/>
        <c:marker>
          <c:symbol val="none"/>
        </c:marker>
        <c:dLbl>
          <c:idx val="0"/>
          <c:delete val="1"/>
          <c:extLst>
            <c:ext xmlns:c15="http://schemas.microsoft.com/office/drawing/2012/chart" uri="{CE6537A1-D6FC-4f65-9D91-7224C49458BB}"/>
          </c:extLst>
        </c:dLbl>
      </c:pivotFmt>
      <c:pivotFmt>
        <c:idx val="18"/>
        <c:marker>
          <c:symbol val="none"/>
        </c:marker>
        <c:dLbl>
          <c:idx val="0"/>
          <c:delete val="1"/>
          <c:extLst>
            <c:ext xmlns:c15="http://schemas.microsoft.com/office/drawing/2012/chart" uri="{CE6537A1-D6FC-4f65-9D91-7224C49458BB}"/>
          </c:extLst>
        </c:dLbl>
      </c:pivotFmt>
      <c:pivotFmt>
        <c:idx val="19"/>
        <c:marker>
          <c:symbol val="none"/>
        </c:marker>
        <c:dLbl>
          <c:idx val="0"/>
          <c:delete val="1"/>
          <c:extLst>
            <c:ext xmlns:c15="http://schemas.microsoft.com/office/drawing/2012/chart" uri="{CE6537A1-D6FC-4f65-9D91-7224C49458BB}"/>
          </c:extLst>
        </c:dLbl>
      </c:pivotFmt>
      <c:pivotFmt>
        <c:idx val="20"/>
        <c:marker>
          <c:symbol val="none"/>
        </c:marker>
        <c:dLbl>
          <c:idx val="0"/>
          <c:delete val="1"/>
          <c:extLst>
            <c:ext xmlns:c15="http://schemas.microsoft.com/office/drawing/2012/chart" uri="{CE6537A1-D6FC-4f65-9D91-7224C49458BB}"/>
          </c:extLst>
        </c:dLbl>
      </c:pivotFmt>
      <c:pivotFmt>
        <c:idx val="21"/>
        <c:marker>
          <c:symbol val="none"/>
        </c:marker>
        <c:dLbl>
          <c:idx val="0"/>
          <c:delete val="1"/>
          <c:extLst>
            <c:ext xmlns:c15="http://schemas.microsoft.com/office/drawing/2012/chart" uri="{CE6537A1-D6FC-4f65-9D91-7224C49458BB}"/>
          </c:extLst>
        </c:dLbl>
      </c:pivotFmt>
      <c:pivotFmt>
        <c:idx val="22"/>
        <c:marker>
          <c:symbol val="none"/>
        </c:marker>
        <c:dLbl>
          <c:idx val="0"/>
          <c:delete val="1"/>
          <c:extLst>
            <c:ext xmlns:c15="http://schemas.microsoft.com/office/drawing/2012/chart" uri="{CE6537A1-D6FC-4f65-9D91-7224C49458BB}"/>
          </c:extLst>
        </c:dLbl>
      </c:pivotFmt>
      <c:pivotFmt>
        <c:idx val="23"/>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Charts!$B$44:$B$45</c:f>
              <c:strCache>
                <c:ptCount val="1"/>
                <c:pt idx="0">
                  <c:v>Coca-Cola</c:v>
                </c:pt>
              </c:strCache>
            </c:strRef>
          </c:tx>
          <c:marker>
            <c:symbol val="none"/>
          </c:marker>
          <c:cat>
            <c:strRef>
              <c:f>Charts!$A$46:$A$58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Charts!$B$46:$B$58</c:f>
              <c:numCache>
                <c:formatCode>General</c:formatCode>
                <c:ptCount val="12"/>
                <c:pt idx="0">
                  <c:v>0.56666666666666676</c:v>
                </c:pt>
                <c:pt idx="1">
                  <c:v>0.375</c:v>
                </c:pt>
                <c:pt idx="2">
                  <c:v>0.375</c:v>
                </c:pt>
                <c:pt idx="3">
                  <c:v>0.41249999999999998</c:v>
                </c:pt>
                <c:pt idx="4">
                  <c:v>0.46249999999999997</c:v>
                </c:pt>
                <c:pt idx="5">
                  <c:v>0.48749999999999993</c:v>
                </c:pt>
                <c:pt idx="6">
                  <c:v>0.51249999999999996</c:v>
                </c:pt>
                <c:pt idx="7">
                  <c:v>0.51249999999999996</c:v>
                </c:pt>
                <c:pt idx="8">
                  <c:v>0.53749999999999998</c:v>
                </c:pt>
                <c:pt idx="9">
                  <c:v>0.51</c:v>
                </c:pt>
                <c:pt idx="10">
                  <c:v>0.56666666666666676</c:v>
                </c:pt>
                <c:pt idx="11">
                  <c:v>0.52</c:v>
                </c:pt>
              </c:numCache>
            </c:numRef>
          </c:val>
          <c:smooth val="0"/>
          <c:extLst>
            <c:ext xmlns:c16="http://schemas.microsoft.com/office/drawing/2014/chart" uri="{C3380CC4-5D6E-409C-BE32-E72D297353CC}">
              <c16:uniqueId val="{00000000-33A5-3545-9E22-FACB8B23C042}"/>
            </c:ext>
          </c:extLst>
        </c:ser>
        <c:ser>
          <c:idx val="1"/>
          <c:order val="1"/>
          <c:tx>
            <c:strRef>
              <c:f>Charts!$C$44:$C$45</c:f>
              <c:strCache>
                <c:ptCount val="1"/>
                <c:pt idx="0">
                  <c:v>Dasani Water</c:v>
                </c:pt>
              </c:strCache>
            </c:strRef>
          </c:tx>
          <c:marker>
            <c:symbol val="none"/>
          </c:marker>
          <c:cat>
            <c:strRef>
              <c:f>Charts!$A$46:$A$58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Charts!$C$46:$C$58</c:f>
              <c:numCache>
                <c:formatCode>General</c:formatCode>
                <c:ptCount val="12"/>
                <c:pt idx="0">
                  <c:v>0.68333333333333324</c:v>
                </c:pt>
                <c:pt idx="1">
                  <c:v>0.45</c:v>
                </c:pt>
                <c:pt idx="2">
                  <c:v>0.45</c:v>
                </c:pt>
                <c:pt idx="3">
                  <c:v>0.48749999999999999</c:v>
                </c:pt>
                <c:pt idx="4">
                  <c:v>0.58750000000000002</c:v>
                </c:pt>
                <c:pt idx="5">
                  <c:v>0.625</c:v>
                </c:pt>
                <c:pt idx="6">
                  <c:v>0.65</c:v>
                </c:pt>
                <c:pt idx="7">
                  <c:v>0.65</c:v>
                </c:pt>
                <c:pt idx="8">
                  <c:v>0.65</c:v>
                </c:pt>
                <c:pt idx="9">
                  <c:v>0.62</c:v>
                </c:pt>
                <c:pt idx="10">
                  <c:v>0.68333333333333324</c:v>
                </c:pt>
                <c:pt idx="11">
                  <c:v>0.63000000000000012</c:v>
                </c:pt>
              </c:numCache>
            </c:numRef>
          </c:val>
          <c:smooth val="0"/>
          <c:extLst>
            <c:ext xmlns:c16="http://schemas.microsoft.com/office/drawing/2014/chart" uri="{C3380CC4-5D6E-409C-BE32-E72D297353CC}">
              <c16:uniqueId val="{00000001-33A5-3545-9E22-FACB8B23C042}"/>
            </c:ext>
          </c:extLst>
        </c:ser>
        <c:ser>
          <c:idx val="2"/>
          <c:order val="2"/>
          <c:tx>
            <c:strRef>
              <c:f>Charts!$D$44:$D$45</c:f>
              <c:strCache>
                <c:ptCount val="1"/>
                <c:pt idx="0">
                  <c:v>Diet Coke</c:v>
                </c:pt>
              </c:strCache>
            </c:strRef>
          </c:tx>
          <c:marker>
            <c:symbol val="none"/>
          </c:marker>
          <c:cat>
            <c:strRef>
              <c:f>Charts!$A$46:$A$58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Charts!$D$46:$D$58</c:f>
              <c:numCache>
                <c:formatCode>General</c:formatCode>
                <c:ptCount val="12"/>
                <c:pt idx="0">
                  <c:v>0.56666666666666676</c:v>
                </c:pt>
                <c:pt idx="1">
                  <c:v>0.43333333333333335</c:v>
                </c:pt>
                <c:pt idx="2">
                  <c:v>0.45999999999999996</c:v>
                </c:pt>
                <c:pt idx="3">
                  <c:v>0.48749999999999999</c:v>
                </c:pt>
                <c:pt idx="4">
                  <c:v>0.51249999999999996</c:v>
                </c:pt>
                <c:pt idx="5">
                  <c:v>0.52500000000000002</c:v>
                </c:pt>
                <c:pt idx="6">
                  <c:v>0.53750000000000009</c:v>
                </c:pt>
                <c:pt idx="7">
                  <c:v>0.53750000000000009</c:v>
                </c:pt>
                <c:pt idx="8">
                  <c:v>0.5625</c:v>
                </c:pt>
                <c:pt idx="9">
                  <c:v>0.51999999999999991</c:v>
                </c:pt>
                <c:pt idx="10">
                  <c:v>0.56666666666666676</c:v>
                </c:pt>
                <c:pt idx="11">
                  <c:v>0.51999999999999991</c:v>
                </c:pt>
              </c:numCache>
            </c:numRef>
          </c:val>
          <c:smooth val="0"/>
          <c:extLst>
            <c:ext xmlns:c16="http://schemas.microsoft.com/office/drawing/2014/chart" uri="{C3380CC4-5D6E-409C-BE32-E72D297353CC}">
              <c16:uniqueId val="{00000002-33A5-3545-9E22-FACB8B23C042}"/>
            </c:ext>
          </c:extLst>
        </c:ser>
        <c:ser>
          <c:idx val="3"/>
          <c:order val="3"/>
          <c:tx>
            <c:strRef>
              <c:f>Charts!$E$44:$E$45</c:f>
              <c:strCache>
                <c:ptCount val="1"/>
                <c:pt idx="0">
                  <c:v>Fanta</c:v>
                </c:pt>
              </c:strCache>
            </c:strRef>
          </c:tx>
          <c:marker>
            <c:symbol val="none"/>
          </c:marker>
          <c:cat>
            <c:strRef>
              <c:f>Charts!$A$46:$A$58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Charts!$E$46:$E$58</c:f>
              <c:numCache>
                <c:formatCode>General</c:formatCode>
                <c:ptCount val="12"/>
                <c:pt idx="0">
                  <c:v>0.53333333333333333</c:v>
                </c:pt>
                <c:pt idx="1">
                  <c:v>0.4375</c:v>
                </c:pt>
                <c:pt idx="2">
                  <c:v>0.4375</c:v>
                </c:pt>
                <c:pt idx="3">
                  <c:v>0.47499999999999998</c:v>
                </c:pt>
                <c:pt idx="4">
                  <c:v>0.47499999999999998</c:v>
                </c:pt>
                <c:pt idx="5">
                  <c:v>0.48749999999999999</c:v>
                </c:pt>
                <c:pt idx="6">
                  <c:v>0.48749999999999999</c:v>
                </c:pt>
                <c:pt idx="7">
                  <c:v>0.48749999999999999</c:v>
                </c:pt>
                <c:pt idx="8">
                  <c:v>0.51249999999999996</c:v>
                </c:pt>
                <c:pt idx="9">
                  <c:v>0.51</c:v>
                </c:pt>
                <c:pt idx="10">
                  <c:v>0.53333333333333333</c:v>
                </c:pt>
                <c:pt idx="11">
                  <c:v>0.51999999999999991</c:v>
                </c:pt>
              </c:numCache>
            </c:numRef>
          </c:val>
          <c:smooth val="0"/>
          <c:extLst>
            <c:ext xmlns:c16="http://schemas.microsoft.com/office/drawing/2014/chart" uri="{C3380CC4-5D6E-409C-BE32-E72D297353CC}">
              <c16:uniqueId val="{00000003-33A5-3545-9E22-FACB8B23C042}"/>
            </c:ext>
          </c:extLst>
        </c:ser>
        <c:ser>
          <c:idx val="4"/>
          <c:order val="4"/>
          <c:tx>
            <c:strRef>
              <c:f>Charts!$F$44:$F$45</c:f>
              <c:strCache>
                <c:ptCount val="1"/>
                <c:pt idx="0">
                  <c:v>Powerade</c:v>
                </c:pt>
              </c:strCache>
            </c:strRef>
          </c:tx>
          <c:marker>
            <c:symbol val="none"/>
          </c:marker>
          <c:cat>
            <c:strRef>
              <c:f>Charts!$A$46:$A$58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Charts!$F$46:$F$58</c:f>
              <c:numCache>
                <c:formatCode>General</c:formatCode>
                <c:ptCount val="12"/>
                <c:pt idx="0">
                  <c:v>0.6333333333333333</c:v>
                </c:pt>
                <c:pt idx="1">
                  <c:v>0.51250000000000007</c:v>
                </c:pt>
                <c:pt idx="2">
                  <c:v>0.51250000000000007</c:v>
                </c:pt>
                <c:pt idx="3">
                  <c:v>0.55000000000000004</c:v>
                </c:pt>
                <c:pt idx="4">
                  <c:v>0.55000000000000004</c:v>
                </c:pt>
                <c:pt idx="5">
                  <c:v>0.55000000000000004</c:v>
                </c:pt>
                <c:pt idx="6">
                  <c:v>0.55000000000000004</c:v>
                </c:pt>
                <c:pt idx="7">
                  <c:v>0.55000000000000004</c:v>
                </c:pt>
                <c:pt idx="8">
                  <c:v>0.6</c:v>
                </c:pt>
                <c:pt idx="9">
                  <c:v>0.55000000000000004</c:v>
                </c:pt>
                <c:pt idx="10">
                  <c:v>0.6333333333333333</c:v>
                </c:pt>
                <c:pt idx="11">
                  <c:v>0.55999999999999994</c:v>
                </c:pt>
              </c:numCache>
            </c:numRef>
          </c:val>
          <c:smooth val="0"/>
          <c:extLst>
            <c:ext xmlns:c16="http://schemas.microsoft.com/office/drawing/2014/chart" uri="{C3380CC4-5D6E-409C-BE32-E72D297353CC}">
              <c16:uniqueId val="{00000004-33A5-3545-9E22-FACB8B23C042}"/>
            </c:ext>
          </c:extLst>
        </c:ser>
        <c:ser>
          <c:idx val="5"/>
          <c:order val="5"/>
          <c:tx>
            <c:strRef>
              <c:f>Charts!$G$44:$G$45</c:f>
              <c:strCache>
                <c:ptCount val="1"/>
                <c:pt idx="0">
                  <c:v>Sprite</c:v>
                </c:pt>
              </c:strCache>
            </c:strRef>
          </c:tx>
          <c:marker>
            <c:symbol val="none"/>
          </c:marker>
          <c:cat>
            <c:strRef>
              <c:f>Charts!$A$46:$A$58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Charts!$G$46:$G$58</c:f>
              <c:numCache>
                <c:formatCode>General</c:formatCode>
                <c:ptCount val="12"/>
                <c:pt idx="0">
                  <c:v>0.53333333333333333</c:v>
                </c:pt>
                <c:pt idx="1">
                  <c:v>0.40000000000000008</c:v>
                </c:pt>
                <c:pt idx="2">
                  <c:v>0.44000000000000006</c:v>
                </c:pt>
                <c:pt idx="3">
                  <c:v>0.44999999999999996</c:v>
                </c:pt>
                <c:pt idx="4">
                  <c:v>0.47499999999999998</c:v>
                </c:pt>
                <c:pt idx="5">
                  <c:v>0.5</c:v>
                </c:pt>
                <c:pt idx="6">
                  <c:v>0.51249999999999996</c:v>
                </c:pt>
                <c:pt idx="7">
                  <c:v>0.51249999999999996</c:v>
                </c:pt>
                <c:pt idx="8">
                  <c:v>0.51249999999999996</c:v>
                </c:pt>
                <c:pt idx="9">
                  <c:v>0.51</c:v>
                </c:pt>
                <c:pt idx="10">
                  <c:v>0.53333333333333333</c:v>
                </c:pt>
                <c:pt idx="11">
                  <c:v>0.51999999999999991</c:v>
                </c:pt>
              </c:numCache>
            </c:numRef>
          </c:val>
          <c:smooth val="0"/>
          <c:extLst>
            <c:ext xmlns:c16="http://schemas.microsoft.com/office/drawing/2014/chart" uri="{C3380CC4-5D6E-409C-BE32-E72D297353CC}">
              <c16:uniqueId val="{00000005-33A5-3545-9E22-FACB8B23C042}"/>
            </c:ext>
          </c:extLst>
        </c:ser>
        <c:dLbls>
          <c:showLegendKey val="0"/>
          <c:showVal val="0"/>
          <c:showCatName val="0"/>
          <c:showSerName val="0"/>
          <c:showPercent val="0"/>
          <c:showBubbleSize val="0"/>
        </c:dLbls>
        <c:smooth val="0"/>
        <c:axId val="609320880"/>
        <c:axId val="610034240"/>
      </c:lineChart>
      <c:catAx>
        <c:axId val="609320880"/>
        <c:scaling>
          <c:orientation val="minMax"/>
        </c:scaling>
        <c:delete val="0"/>
        <c:axPos val="b"/>
        <c:numFmt formatCode="General" sourceLinked="1"/>
        <c:majorTickMark val="out"/>
        <c:minorTickMark val="none"/>
        <c:tickLblPos val="nextTo"/>
        <c:txPr>
          <a:bodyPr/>
          <a:lstStyle/>
          <a:p>
            <a:pPr>
              <a:defRPr>
                <a:solidFill>
                  <a:schemeClr val="tx2">
                    <a:lumMod val="50000"/>
                  </a:schemeClr>
                </a:solidFill>
              </a:defRPr>
            </a:pPr>
            <a:endParaRPr lang="en-US"/>
          </a:p>
        </c:txPr>
        <c:crossAx val="610034240"/>
        <c:crosses val="autoZero"/>
        <c:auto val="1"/>
        <c:lblAlgn val="ctr"/>
        <c:lblOffset val="100"/>
        <c:noMultiLvlLbl val="0"/>
      </c:catAx>
      <c:valAx>
        <c:axId val="610034240"/>
        <c:scaling>
          <c:orientation val="minMax"/>
          <c:max val="0.7"/>
          <c:min val="0.3"/>
        </c:scaling>
        <c:delete val="0"/>
        <c:axPos val="l"/>
        <c:majorGridlines/>
        <c:numFmt formatCode="General" sourceLinked="1"/>
        <c:majorTickMark val="out"/>
        <c:minorTickMark val="none"/>
        <c:tickLblPos val="nextTo"/>
        <c:txPr>
          <a:bodyPr/>
          <a:lstStyle/>
          <a:p>
            <a:pPr>
              <a:defRPr>
                <a:solidFill>
                  <a:schemeClr val="tx2">
                    <a:lumMod val="50000"/>
                  </a:schemeClr>
                </a:solidFill>
              </a:defRPr>
            </a:pPr>
            <a:endParaRPr lang="en-US"/>
          </a:p>
        </c:txPr>
        <c:crossAx val="609320880"/>
        <c:crosses val="autoZero"/>
        <c:crossBetween val="between"/>
        <c:minorUnit val="0.02"/>
      </c:valAx>
      <c:spPr>
        <a:noFill/>
      </c:spPr>
    </c:plotArea>
    <c:legend>
      <c:legendPos val="t"/>
      <c:overlay val="0"/>
      <c:txPr>
        <a:bodyPr/>
        <a:lstStyle/>
        <a:p>
          <a:pPr>
            <a:defRPr>
              <a:solidFill>
                <a:schemeClr val="tx2">
                  <a:lumMod val="50000"/>
                </a:schemeClr>
              </a:solidFill>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From Retailers.xlsm]Charts!PivotTable4</c:name>
    <c:fmtId val="3"/>
  </c:pivotSource>
  <c:chart>
    <c:autoTitleDeleted val="1"/>
    <c:pivotFmts>
      <c:pivotFmt>
        <c:idx val="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a:outerShdw blurRad="50800" dist="25400" dir="8100000" algn="tr" rotWithShape="0">
              <a:prstClr val="black">
                <a:alpha val="40000"/>
              </a:prstClr>
            </a:outerShdw>
          </a:effectLst>
        </c:spPr>
        <c:marker>
          <c:symbol val="none"/>
        </c:marker>
        <c:dLbl>
          <c:idx val="0"/>
          <c:numFmt formatCode="#,##0" sourceLinked="0"/>
          <c:spPr>
            <a:solidFill>
              <a:schemeClr val="accent6">
                <a:lumMod val="60000"/>
                <a:lumOff val="40000"/>
                <a:alpha val="50000"/>
              </a:schemeClr>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solidFill>
                  <a:latin typeface="WHITNEY-MEDIUM" pitchFamily="2" charset="77"/>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a:outerShdw blurRad="50800" dist="25400" dir="8100000" algn="tr" rotWithShape="0">
              <a:prstClr val="black">
                <a:alpha val="40000"/>
              </a:prstClr>
            </a:outerShdw>
          </a:effectLst>
        </c:spPr>
        <c:dLbl>
          <c:idx val="0"/>
          <c:numFmt formatCode="#,##0" sourceLinked="0"/>
          <c:spPr>
            <a:solidFill>
              <a:schemeClr val="accent4">
                <a:lumMod val="60000"/>
                <a:lumOff val="40000"/>
                <a:alpha val="50000"/>
              </a:schemeClr>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accent4">
                      <a:lumMod val="50000"/>
                    </a:schemeClr>
                  </a:solidFill>
                  <a:latin typeface="WHITNEY-MEDIUM" pitchFamily="2" charset="77"/>
                  <a:ea typeface="+mn-ea"/>
                  <a:cs typeface="+mn-cs"/>
                </a:defRPr>
              </a:pPr>
              <a:endParaRPr lang="en-US"/>
            </a:p>
          </c:txPr>
        </c:dLbl>
      </c:pivotFmt>
      <c:pivotFmt>
        <c:idx val="6"/>
        <c:spPr>
          <a:solidFill>
            <a:schemeClr val="accent5"/>
          </a:solidFill>
          <a:ln>
            <a:noFill/>
          </a:ln>
          <a:effectLst>
            <a:outerShdw blurRad="50800" dist="25400" dir="8100000" algn="tr" rotWithShape="0">
              <a:prstClr val="black">
                <a:alpha val="40000"/>
              </a:prstClr>
            </a:outerShdw>
          </a:effectLst>
        </c:spPr>
        <c:dLbl>
          <c:idx val="0"/>
          <c:numFmt formatCode="#,##0" sourceLinked="0"/>
          <c:spPr>
            <a:solidFill>
              <a:schemeClr val="accent5">
                <a:lumMod val="60000"/>
                <a:lumOff val="40000"/>
                <a:alpha val="50000"/>
              </a:schemeClr>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accent5">
                      <a:lumMod val="50000"/>
                    </a:schemeClr>
                  </a:solidFill>
                  <a:latin typeface="WHITNEY-MEDIUM" pitchFamily="2" charset="77"/>
                  <a:ea typeface="+mn-ea"/>
                  <a:cs typeface="+mn-cs"/>
                </a:defRPr>
              </a:pPr>
              <a:endParaRPr lang="en-US"/>
            </a:p>
          </c:txPr>
        </c:dLbl>
      </c:pivotFmt>
      <c:pivotFmt>
        <c:idx val="7"/>
        <c:spPr>
          <a:solidFill>
            <a:schemeClr val="accent6"/>
          </a:solidFill>
          <a:ln>
            <a:noFill/>
          </a:ln>
          <a:effectLst>
            <a:outerShdw blurRad="50800" dist="25400" dir="8100000" algn="tr" rotWithShape="0">
              <a:prstClr val="black">
                <a:alpha val="40000"/>
              </a:prstClr>
            </a:outerShdw>
          </a:effectLst>
        </c:spPr>
        <c:dLbl>
          <c:idx val="0"/>
          <c:numFmt formatCode="#,##0" sourceLinked="0"/>
          <c:spPr>
            <a:solidFill>
              <a:schemeClr val="accent6">
                <a:lumMod val="60000"/>
                <a:lumOff val="40000"/>
                <a:alpha val="50000"/>
              </a:schemeClr>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accent6">
                      <a:lumMod val="50000"/>
                    </a:schemeClr>
                  </a:solidFill>
                  <a:latin typeface="WHITNEY-MEDIUM" pitchFamily="2" charset="77"/>
                  <a:ea typeface="+mn-ea"/>
                  <a:cs typeface="+mn-cs"/>
                </a:defRPr>
              </a:pPr>
              <a:endParaRPr lang="en-US"/>
            </a:p>
          </c:txPr>
        </c:dLbl>
      </c:pivotFmt>
    </c:pivotFmts>
    <c:plotArea>
      <c:layout/>
      <c:doughnutChart>
        <c:varyColors val="1"/>
        <c:ser>
          <c:idx val="0"/>
          <c:order val="0"/>
          <c:tx>
            <c:strRef>
              <c:f>Charts!$B$37</c:f>
              <c:strCache>
                <c:ptCount val="1"/>
                <c:pt idx="0">
                  <c:v>Total</c:v>
                </c:pt>
              </c:strCache>
            </c:strRef>
          </c:tx>
          <c:spPr>
            <a:effectLst>
              <a:outerShdw blurRad="50800" dist="25400" dir="8100000" algn="tr" rotWithShape="0">
                <a:prstClr val="black">
                  <a:alpha val="40000"/>
                </a:prstClr>
              </a:outerShdw>
            </a:effectLst>
          </c:spPr>
          <c:dPt>
            <c:idx val="0"/>
            <c:bubble3D val="0"/>
            <c:spPr>
              <a:solidFill>
                <a:schemeClr val="accent6"/>
              </a:solidFill>
              <a:ln>
                <a:noFill/>
              </a:ln>
              <a:effectLst>
                <a:outerShdw blurRad="50800" dist="25400" dir="8100000" algn="tr" rotWithShape="0">
                  <a:prstClr val="black">
                    <a:alpha val="40000"/>
                  </a:prstClr>
                </a:outerShdw>
              </a:effectLst>
            </c:spPr>
            <c:extLst>
              <c:ext xmlns:c16="http://schemas.microsoft.com/office/drawing/2014/chart" uri="{C3380CC4-5D6E-409C-BE32-E72D297353CC}">
                <c16:uniqueId val="{00000009-C56A-D544-B7CA-DCA6A8178AB0}"/>
              </c:ext>
            </c:extLst>
          </c:dPt>
          <c:dPt>
            <c:idx val="1"/>
            <c:bubble3D val="0"/>
            <c:spPr>
              <a:solidFill>
                <a:schemeClr val="accent5"/>
              </a:solidFill>
              <a:ln>
                <a:noFill/>
              </a:ln>
              <a:effectLst>
                <a:outerShdw blurRad="50800" dist="25400" dir="8100000" algn="tr" rotWithShape="0">
                  <a:prstClr val="black">
                    <a:alpha val="40000"/>
                  </a:prstClr>
                </a:outerShdw>
              </a:effectLst>
            </c:spPr>
            <c:extLst>
              <c:ext xmlns:c16="http://schemas.microsoft.com/office/drawing/2014/chart" uri="{C3380CC4-5D6E-409C-BE32-E72D297353CC}">
                <c16:uniqueId val="{00000008-C56A-D544-B7CA-DCA6A8178AB0}"/>
              </c:ext>
            </c:extLst>
          </c:dPt>
          <c:dPt>
            <c:idx val="2"/>
            <c:bubble3D val="0"/>
            <c:spPr>
              <a:solidFill>
                <a:schemeClr val="accent4"/>
              </a:solidFill>
              <a:ln>
                <a:noFill/>
              </a:ln>
              <a:effectLst>
                <a:outerShdw blurRad="50800" dist="25400" dir="8100000" algn="tr" rotWithShape="0">
                  <a:prstClr val="black">
                    <a:alpha val="40000"/>
                  </a:prstClr>
                </a:outerShdw>
              </a:effectLst>
            </c:spPr>
            <c:extLst>
              <c:ext xmlns:c16="http://schemas.microsoft.com/office/drawing/2014/chart" uri="{C3380CC4-5D6E-409C-BE32-E72D297353CC}">
                <c16:uniqueId val="{00000007-C56A-D544-B7CA-DCA6A8178AB0}"/>
              </c:ext>
            </c:extLst>
          </c:dPt>
          <c:dLbls>
            <c:numFmt formatCode="#,##0" sourceLinked="0"/>
            <c:spPr>
              <a:solidFill>
                <a:schemeClr val="accent6">
                  <a:lumMod val="60000"/>
                  <a:lumOff val="40000"/>
                  <a:alpha val="50000"/>
                </a:schemeClr>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solidFill>
                    <a:latin typeface="WHITNEY-MEDIUM" pitchFamily="2" charset="77"/>
                    <a:ea typeface="+mn-ea"/>
                    <a:cs typeface="+mn-cs"/>
                  </a:defRPr>
                </a:pPr>
                <a:endParaRPr lang="en-US"/>
              </a:p>
            </c:txPr>
            <c:showLegendKey val="0"/>
            <c:showVal val="1"/>
            <c:showCatName val="0"/>
            <c:showSerName val="0"/>
            <c:showPercent val="0"/>
            <c:showBubbleSize val="0"/>
            <c:showLeaderLines val="1"/>
            <c:leaderLines>
              <c:spPr>
                <a:ln w="12700" cap="flat" cmpd="sng" algn="ctr">
                  <a:solidFill>
                    <a:schemeClr val="tx1"/>
                  </a:solidFill>
                  <a:prstDash val="solid"/>
                  <a:round/>
                </a:ln>
                <a:effectLst/>
              </c:spPr>
            </c:leaderLines>
            <c:extLst>
              <c:ext xmlns:c15="http://schemas.microsoft.com/office/drawing/2012/chart" uri="{CE6537A1-D6FC-4f65-9D91-7224C49458BB}"/>
            </c:extLst>
          </c:dLbls>
          <c:cat>
            <c:strRef>
              <c:f>Charts!$A$38:$A$41</c:f>
              <c:strCache>
                <c:ptCount val="3"/>
                <c:pt idx="0">
                  <c:v>California</c:v>
                </c:pt>
                <c:pt idx="1">
                  <c:v>New York</c:v>
                </c:pt>
                <c:pt idx="2">
                  <c:v>Texas</c:v>
                </c:pt>
              </c:strCache>
            </c:strRef>
          </c:cat>
          <c:val>
            <c:numRef>
              <c:f>Charts!$B$38:$B$41</c:f>
              <c:numCache>
                <c:formatCode>General</c:formatCode>
                <c:ptCount val="3"/>
                <c:pt idx="0">
                  <c:v>582400</c:v>
                </c:pt>
                <c:pt idx="1">
                  <c:v>391767.5</c:v>
                </c:pt>
                <c:pt idx="2">
                  <c:v>238850</c:v>
                </c:pt>
              </c:numCache>
            </c:numRef>
          </c:val>
          <c:extLst>
            <c:ext xmlns:c16="http://schemas.microsoft.com/office/drawing/2014/chart" uri="{C3380CC4-5D6E-409C-BE32-E72D297353CC}">
              <c16:uniqueId val="{00000000-C56A-D544-B7CA-DCA6A8178AB0}"/>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66847462494656085"/>
          <c:y val="0.32510039263223278"/>
          <c:w val="0.22929197003271076"/>
          <c:h val="0.3497987125840664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2">
                  <a:lumMod val="50000"/>
                </a:schemeClr>
              </a:solidFill>
              <a:latin typeface="WHITNEY-MEDIUM" pitchFamily="2" charset="77"/>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From Retailers.xlsm]Charts!PivotTable1</c:name>
    <c:fmtId val="0"/>
  </c:pivotSource>
  <c:chart>
    <c:title>
      <c:tx>
        <c:rich>
          <a:bodyPr/>
          <a:lstStyle/>
          <a:p>
            <a:pPr>
              <a:defRPr/>
            </a:pPr>
            <a:r>
              <a:rPr lang="en-US"/>
              <a:t>Revenue by Beverage Brand</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Charts!$B$1</c:f>
              <c:strCache>
                <c:ptCount val="1"/>
                <c:pt idx="0">
                  <c:v>Total</c:v>
                </c:pt>
              </c:strCache>
            </c:strRef>
          </c:tx>
          <c:invertIfNegative val="0"/>
          <c:cat>
            <c:strRef>
              <c:f>Charts!$A$2:$A$8</c:f>
              <c:strCache>
                <c:ptCount val="6"/>
                <c:pt idx="0">
                  <c:v>Coca-Cola</c:v>
                </c:pt>
                <c:pt idx="1">
                  <c:v>Dasani Water</c:v>
                </c:pt>
                <c:pt idx="2">
                  <c:v>Diet Coke</c:v>
                </c:pt>
                <c:pt idx="3">
                  <c:v>Fanta</c:v>
                </c:pt>
                <c:pt idx="4">
                  <c:v>Powerade</c:v>
                </c:pt>
                <c:pt idx="5">
                  <c:v>Sprite</c:v>
                </c:pt>
              </c:strCache>
            </c:strRef>
          </c:cat>
          <c:val>
            <c:numRef>
              <c:f>Charts!$B$2:$B$8</c:f>
              <c:numCache>
                <c:formatCode>General</c:formatCode>
                <c:ptCount val="6"/>
                <c:pt idx="0">
                  <c:v>228445</c:v>
                </c:pt>
                <c:pt idx="1">
                  <c:v>233775</c:v>
                </c:pt>
                <c:pt idx="2">
                  <c:v>214362.5</c:v>
                </c:pt>
                <c:pt idx="3">
                  <c:v>166550</c:v>
                </c:pt>
                <c:pt idx="4">
                  <c:v>181250</c:v>
                </c:pt>
                <c:pt idx="5">
                  <c:v>188635</c:v>
                </c:pt>
              </c:numCache>
            </c:numRef>
          </c:val>
          <c:extLst>
            <c:ext xmlns:c16="http://schemas.microsoft.com/office/drawing/2014/chart" uri="{C3380CC4-5D6E-409C-BE32-E72D297353CC}">
              <c16:uniqueId val="{00000000-BABA-A440-9061-C928DEC314F0}"/>
            </c:ext>
          </c:extLst>
        </c:ser>
        <c:dLbls>
          <c:showLegendKey val="0"/>
          <c:showVal val="0"/>
          <c:showCatName val="0"/>
          <c:showSerName val="0"/>
          <c:showPercent val="0"/>
          <c:showBubbleSize val="0"/>
        </c:dLbls>
        <c:gapWidth val="150"/>
        <c:axId val="544647264"/>
        <c:axId val="544648976"/>
      </c:barChart>
      <c:catAx>
        <c:axId val="544647264"/>
        <c:scaling>
          <c:orientation val="minMax"/>
        </c:scaling>
        <c:delete val="0"/>
        <c:axPos val="b"/>
        <c:numFmt formatCode="General" sourceLinked="1"/>
        <c:majorTickMark val="out"/>
        <c:minorTickMark val="none"/>
        <c:tickLblPos val="nextTo"/>
        <c:crossAx val="544648976"/>
        <c:crosses val="autoZero"/>
        <c:auto val="1"/>
        <c:lblAlgn val="ctr"/>
        <c:lblOffset val="100"/>
        <c:noMultiLvlLbl val="0"/>
      </c:catAx>
      <c:valAx>
        <c:axId val="544648976"/>
        <c:scaling>
          <c:orientation val="minMax"/>
        </c:scaling>
        <c:delete val="0"/>
        <c:axPos val="l"/>
        <c:majorGridlines/>
        <c:numFmt formatCode="General" sourceLinked="1"/>
        <c:majorTickMark val="out"/>
        <c:minorTickMark val="none"/>
        <c:tickLblPos val="nextTo"/>
        <c:crossAx val="54464726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From Retailers.xlsm]Charts!PivotTable2</c:name>
    <c:fmtId val="0"/>
  </c:pivotSource>
  <c:chart>
    <c:title>
      <c:tx>
        <c:rich>
          <a:bodyPr/>
          <a:lstStyle/>
          <a:p>
            <a:pPr>
              <a:defRPr/>
            </a:pPr>
            <a:r>
              <a:rPr lang="en-US"/>
              <a:t>Revenue by Month</a:t>
            </a:r>
          </a:p>
        </c:rich>
      </c:tx>
      <c:overlay val="0"/>
    </c:title>
    <c:autoTitleDeleted val="0"/>
    <c:pivotFmts>
      <c:pivotFmt>
        <c:idx val="0"/>
        <c:dLbl>
          <c:idx val="0"/>
          <c:delete val="1"/>
          <c:extLst>
            <c:ext xmlns:c15="http://schemas.microsoft.com/office/drawing/2012/chart" uri="{CE6537A1-D6FC-4f65-9D91-7224C49458BB}"/>
          </c:extLst>
        </c:dLbl>
      </c:pivotFmt>
    </c:pivotFmts>
    <c:plotArea>
      <c:layout/>
      <c:lineChart>
        <c:grouping val="standard"/>
        <c:varyColors val="0"/>
        <c:ser>
          <c:idx val="0"/>
          <c:order val="0"/>
          <c:tx>
            <c:strRef>
              <c:f>Charts!$B$11</c:f>
              <c:strCache>
                <c:ptCount val="1"/>
                <c:pt idx="0">
                  <c:v>Total</c:v>
                </c:pt>
              </c:strCache>
            </c:strRef>
          </c:tx>
          <c:cat>
            <c:strRef>
              <c:f>Charts!$A$12:$A$24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Charts!$B$12:$B$24</c:f>
              <c:numCache>
                <c:formatCode>General</c:formatCode>
                <c:ptCount val="12"/>
                <c:pt idx="0">
                  <c:v>91125</c:v>
                </c:pt>
                <c:pt idx="1">
                  <c:v>74312.5</c:v>
                </c:pt>
                <c:pt idx="2">
                  <c:v>86312.5</c:v>
                </c:pt>
                <c:pt idx="3">
                  <c:v>83562.5</c:v>
                </c:pt>
                <c:pt idx="4">
                  <c:v>89637.5</c:v>
                </c:pt>
                <c:pt idx="5">
                  <c:v>98707.5</c:v>
                </c:pt>
                <c:pt idx="6">
                  <c:v>110125</c:v>
                </c:pt>
                <c:pt idx="7">
                  <c:v>114325</c:v>
                </c:pt>
                <c:pt idx="8">
                  <c:v>115950</c:v>
                </c:pt>
                <c:pt idx="9">
                  <c:v>130300</c:v>
                </c:pt>
                <c:pt idx="10">
                  <c:v>84937.5</c:v>
                </c:pt>
                <c:pt idx="11">
                  <c:v>133722.5</c:v>
                </c:pt>
              </c:numCache>
            </c:numRef>
          </c:val>
          <c:smooth val="0"/>
          <c:extLst>
            <c:ext xmlns:c16="http://schemas.microsoft.com/office/drawing/2014/chart" uri="{C3380CC4-5D6E-409C-BE32-E72D297353CC}">
              <c16:uniqueId val="{00000000-A478-9D42-B433-BE2B6D0186B9}"/>
            </c:ext>
          </c:extLst>
        </c:ser>
        <c:dLbls>
          <c:showLegendKey val="0"/>
          <c:showVal val="0"/>
          <c:showCatName val="0"/>
          <c:showSerName val="0"/>
          <c:showPercent val="0"/>
          <c:showBubbleSize val="0"/>
        </c:dLbls>
        <c:marker val="1"/>
        <c:smooth val="0"/>
        <c:axId val="544799872"/>
        <c:axId val="544801584"/>
      </c:lineChart>
      <c:catAx>
        <c:axId val="544799872"/>
        <c:scaling>
          <c:orientation val="minMax"/>
        </c:scaling>
        <c:delete val="0"/>
        <c:axPos val="b"/>
        <c:numFmt formatCode="General" sourceLinked="1"/>
        <c:majorTickMark val="out"/>
        <c:minorTickMark val="none"/>
        <c:tickLblPos val="nextTo"/>
        <c:crossAx val="544801584"/>
        <c:crosses val="autoZero"/>
        <c:auto val="1"/>
        <c:lblAlgn val="ctr"/>
        <c:lblOffset val="100"/>
        <c:noMultiLvlLbl val="0"/>
      </c:catAx>
      <c:valAx>
        <c:axId val="544801584"/>
        <c:scaling>
          <c:orientation val="minMax"/>
        </c:scaling>
        <c:delete val="0"/>
        <c:axPos val="l"/>
        <c:majorGridlines/>
        <c:numFmt formatCode="General" sourceLinked="1"/>
        <c:majorTickMark val="out"/>
        <c:minorTickMark val="none"/>
        <c:tickLblPos val="nextTo"/>
        <c:crossAx val="544799872"/>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From Retailers.xlsm]Charts!PivotTable3</c:name>
    <c:fmtId val="0"/>
  </c:pivotSource>
  <c:chart>
    <c:title>
      <c:tx>
        <c:rich>
          <a:bodyPr/>
          <a:lstStyle/>
          <a:p>
            <a:pPr>
              <a:defRPr/>
            </a:pPr>
            <a:r>
              <a:rPr lang="en-US"/>
              <a:t>Units Sold by Beverage Brand</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bar"/>
        <c:grouping val="stacked"/>
        <c:varyColors val="0"/>
        <c:ser>
          <c:idx val="0"/>
          <c:order val="0"/>
          <c:tx>
            <c:strRef>
              <c:f>Charts!$B$27</c:f>
              <c:strCache>
                <c:ptCount val="1"/>
                <c:pt idx="0">
                  <c:v>Total</c:v>
                </c:pt>
              </c:strCache>
            </c:strRef>
          </c:tx>
          <c:invertIfNegative val="0"/>
          <c:cat>
            <c:strRef>
              <c:f>Charts!$A$28:$A$34</c:f>
              <c:strCache>
                <c:ptCount val="6"/>
                <c:pt idx="0">
                  <c:v>Coca-Cola</c:v>
                </c:pt>
                <c:pt idx="1">
                  <c:v>Dasani Water</c:v>
                </c:pt>
                <c:pt idx="2">
                  <c:v>Diet Coke</c:v>
                </c:pt>
                <c:pt idx="3">
                  <c:v>Fanta</c:v>
                </c:pt>
                <c:pt idx="4">
                  <c:v>Powerade</c:v>
                </c:pt>
                <c:pt idx="5">
                  <c:v>Sprite</c:v>
                </c:pt>
              </c:strCache>
            </c:strRef>
          </c:cat>
          <c:val>
            <c:numRef>
              <c:f>Charts!$B$28:$B$34</c:f>
              <c:numCache>
                <c:formatCode>General</c:formatCode>
                <c:ptCount val="6"/>
                <c:pt idx="0">
                  <c:v>461900</c:v>
                </c:pt>
                <c:pt idx="1">
                  <c:v>392750</c:v>
                </c:pt>
                <c:pt idx="2">
                  <c:v>413750</c:v>
                </c:pt>
                <c:pt idx="3">
                  <c:v>338000</c:v>
                </c:pt>
                <c:pt idx="4">
                  <c:v>318750</c:v>
                </c:pt>
                <c:pt idx="5">
                  <c:v>384700</c:v>
                </c:pt>
              </c:numCache>
            </c:numRef>
          </c:val>
          <c:extLst>
            <c:ext xmlns:c16="http://schemas.microsoft.com/office/drawing/2014/chart" uri="{C3380CC4-5D6E-409C-BE32-E72D297353CC}">
              <c16:uniqueId val="{00000000-0B04-9E44-BB28-674CD02D4750}"/>
            </c:ext>
          </c:extLst>
        </c:ser>
        <c:dLbls>
          <c:showLegendKey val="0"/>
          <c:showVal val="0"/>
          <c:showCatName val="0"/>
          <c:showSerName val="0"/>
          <c:showPercent val="0"/>
          <c:showBubbleSize val="0"/>
        </c:dLbls>
        <c:gapWidth val="150"/>
        <c:overlap val="100"/>
        <c:axId val="1883620896"/>
        <c:axId val="1107752352"/>
      </c:barChart>
      <c:catAx>
        <c:axId val="1883620896"/>
        <c:scaling>
          <c:orientation val="minMax"/>
        </c:scaling>
        <c:delete val="0"/>
        <c:axPos val="l"/>
        <c:numFmt formatCode="General" sourceLinked="1"/>
        <c:majorTickMark val="out"/>
        <c:minorTickMark val="none"/>
        <c:tickLblPos val="nextTo"/>
        <c:crossAx val="1107752352"/>
        <c:crosses val="autoZero"/>
        <c:auto val="1"/>
        <c:lblAlgn val="ctr"/>
        <c:lblOffset val="100"/>
        <c:noMultiLvlLbl val="0"/>
      </c:catAx>
      <c:valAx>
        <c:axId val="1107752352"/>
        <c:scaling>
          <c:orientation val="minMax"/>
        </c:scaling>
        <c:delete val="0"/>
        <c:axPos val="b"/>
        <c:majorGridlines/>
        <c:numFmt formatCode="General" sourceLinked="1"/>
        <c:majorTickMark val="out"/>
        <c:minorTickMark val="none"/>
        <c:tickLblPos val="nextTo"/>
        <c:crossAx val="188362089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From Retailers.xlsm]Charts!PivotTable4</c:name>
    <c:fmtId val="0"/>
  </c:pivotSource>
  <c:chart>
    <c:title>
      <c:tx>
        <c:rich>
          <a:bodyPr/>
          <a:lstStyle/>
          <a:p>
            <a:pPr>
              <a:defRPr/>
            </a:pPr>
            <a:r>
              <a:rPr lang="en-US"/>
              <a:t>Revenue by State</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doughnutChart>
        <c:varyColors val="1"/>
        <c:ser>
          <c:idx val="0"/>
          <c:order val="0"/>
          <c:tx>
            <c:strRef>
              <c:f>Charts!$B$37</c:f>
              <c:strCache>
                <c:ptCount val="1"/>
                <c:pt idx="0">
                  <c:v>Total</c:v>
                </c:pt>
              </c:strCache>
            </c:strRef>
          </c:tx>
          <c:cat>
            <c:strRef>
              <c:f>Charts!$A$38:$A$41</c:f>
              <c:strCache>
                <c:ptCount val="3"/>
                <c:pt idx="0">
                  <c:v>California</c:v>
                </c:pt>
                <c:pt idx="1">
                  <c:v>New York</c:v>
                </c:pt>
                <c:pt idx="2">
                  <c:v>Texas</c:v>
                </c:pt>
              </c:strCache>
            </c:strRef>
          </c:cat>
          <c:val>
            <c:numRef>
              <c:f>Charts!$B$38:$B$41</c:f>
              <c:numCache>
                <c:formatCode>General</c:formatCode>
                <c:ptCount val="3"/>
                <c:pt idx="0">
                  <c:v>582400</c:v>
                </c:pt>
                <c:pt idx="1">
                  <c:v>391767.5</c:v>
                </c:pt>
                <c:pt idx="2">
                  <c:v>238850</c:v>
                </c:pt>
              </c:numCache>
            </c:numRef>
          </c:val>
          <c:extLst>
            <c:ext xmlns:c16="http://schemas.microsoft.com/office/drawing/2014/chart" uri="{C3380CC4-5D6E-409C-BE32-E72D297353CC}">
              <c16:uniqueId val="{00000000-DE41-8E4B-BF24-E5F3CC051FD9}"/>
            </c:ext>
          </c:extLst>
        </c:ser>
        <c:dLbls>
          <c:showLegendKey val="0"/>
          <c:showVal val="0"/>
          <c:showCatName val="0"/>
          <c:showSerName val="0"/>
          <c:showPercent val="0"/>
          <c:showBubbleSize val="0"/>
          <c:showLeaderLines val="1"/>
        </c:dLbls>
        <c:firstSliceAng val="0"/>
        <c:holeSize val="50"/>
      </c:doughnut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From Retailers.xlsm]Charts!PivotTable5</c:name>
    <c:fmtId val="0"/>
  </c:pivotSource>
  <c:chart>
    <c:title>
      <c:tx>
        <c:rich>
          <a:bodyPr/>
          <a:lstStyle/>
          <a:p>
            <a:pPr>
              <a:defRPr/>
            </a:pPr>
            <a:r>
              <a:rPr lang="en-US"/>
              <a:t>Price per Unit Over Time</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Charts!$B$44:$B$45</c:f>
              <c:strCache>
                <c:ptCount val="1"/>
                <c:pt idx="0">
                  <c:v>Coca-Cola</c:v>
                </c:pt>
              </c:strCache>
            </c:strRef>
          </c:tx>
          <c:marker>
            <c:symbol val="none"/>
          </c:marker>
          <c:cat>
            <c:strRef>
              <c:f>Charts!$A$46:$A$58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Charts!$B$46:$B$58</c:f>
              <c:numCache>
                <c:formatCode>General</c:formatCode>
                <c:ptCount val="12"/>
                <c:pt idx="0">
                  <c:v>0.56666666666666676</c:v>
                </c:pt>
                <c:pt idx="1">
                  <c:v>0.375</c:v>
                </c:pt>
                <c:pt idx="2">
                  <c:v>0.375</c:v>
                </c:pt>
                <c:pt idx="3">
                  <c:v>0.41249999999999998</c:v>
                </c:pt>
                <c:pt idx="4">
                  <c:v>0.46249999999999997</c:v>
                </c:pt>
                <c:pt idx="5">
                  <c:v>0.48749999999999993</c:v>
                </c:pt>
                <c:pt idx="6">
                  <c:v>0.51249999999999996</c:v>
                </c:pt>
                <c:pt idx="7">
                  <c:v>0.51249999999999996</c:v>
                </c:pt>
                <c:pt idx="8">
                  <c:v>0.53749999999999998</c:v>
                </c:pt>
                <c:pt idx="9">
                  <c:v>0.51</c:v>
                </c:pt>
                <c:pt idx="10">
                  <c:v>0.56666666666666676</c:v>
                </c:pt>
                <c:pt idx="11">
                  <c:v>0.52</c:v>
                </c:pt>
              </c:numCache>
            </c:numRef>
          </c:val>
          <c:smooth val="0"/>
          <c:extLst>
            <c:ext xmlns:c16="http://schemas.microsoft.com/office/drawing/2014/chart" uri="{C3380CC4-5D6E-409C-BE32-E72D297353CC}">
              <c16:uniqueId val="{00000000-CA2A-3344-836C-1B992F61D390}"/>
            </c:ext>
          </c:extLst>
        </c:ser>
        <c:ser>
          <c:idx val="1"/>
          <c:order val="1"/>
          <c:tx>
            <c:strRef>
              <c:f>Charts!$C$44:$C$45</c:f>
              <c:strCache>
                <c:ptCount val="1"/>
                <c:pt idx="0">
                  <c:v>Dasani Water</c:v>
                </c:pt>
              </c:strCache>
            </c:strRef>
          </c:tx>
          <c:marker>
            <c:symbol val="none"/>
          </c:marker>
          <c:cat>
            <c:strRef>
              <c:f>Charts!$A$46:$A$58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Charts!$C$46:$C$58</c:f>
              <c:numCache>
                <c:formatCode>General</c:formatCode>
                <c:ptCount val="12"/>
                <c:pt idx="0">
                  <c:v>0.68333333333333324</c:v>
                </c:pt>
                <c:pt idx="1">
                  <c:v>0.45</c:v>
                </c:pt>
                <c:pt idx="2">
                  <c:v>0.45</c:v>
                </c:pt>
                <c:pt idx="3">
                  <c:v>0.48749999999999999</c:v>
                </c:pt>
                <c:pt idx="4">
                  <c:v>0.58750000000000002</c:v>
                </c:pt>
                <c:pt idx="5">
                  <c:v>0.625</c:v>
                </c:pt>
                <c:pt idx="6">
                  <c:v>0.65</c:v>
                </c:pt>
                <c:pt idx="7">
                  <c:v>0.65</c:v>
                </c:pt>
                <c:pt idx="8">
                  <c:v>0.65</c:v>
                </c:pt>
                <c:pt idx="9">
                  <c:v>0.62</c:v>
                </c:pt>
                <c:pt idx="10">
                  <c:v>0.68333333333333324</c:v>
                </c:pt>
                <c:pt idx="11">
                  <c:v>0.63000000000000012</c:v>
                </c:pt>
              </c:numCache>
            </c:numRef>
          </c:val>
          <c:smooth val="0"/>
          <c:extLst>
            <c:ext xmlns:c16="http://schemas.microsoft.com/office/drawing/2014/chart" uri="{C3380CC4-5D6E-409C-BE32-E72D297353CC}">
              <c16:uniqueId val="{00000001-CA2A-3344-836C-1B992F61D390}"/>
            </c:ext>
          </c:extLst>
        </c:ser>
        <c:ser>
          <c:idx val="2"/>
          <c:order val="2"/>
          <c:tx>
            <c:strRef>
              <c:f>Charts!$D$44:$D$45</c:f>
              <c:strCache>
                <c:ptCount val="1"/>
                <c:pt idx="0">
                  <c:v>Diet Coke</c:v>
                </c:pt>
              </c:strCache>
            </c:strRef>
          </c:tx>
          <c:marker>
            <c:symbol val="none"/>
          </c:marker>
          <c:cat>
            <c:strRef>
              <c:f>Charts!$A$46:$A$58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Charts!$D$46:$D$58</c:f>
              <c:numCache>
                <c:formatCode>General</c:formatCode>
                <c:ptCount val="12"/>
                <c:pt idx="0">
                  <c:v>0.56666666666666676</c:v>
                </c:pt>
                <c:pt idx="1">
                  <c:v>0.43333333333333335</c:v>
                </c:pt>
                <c:pt idx="2">
                  <c:v>0.45999999999999996</c:v>
                </c:pt>
                <c:pt idx="3">
                  <c:v>0.48749999999999999</c:v>
                </c:pt>
                <c:pt idx="4">
                  <c:v>0.51249999999999996</c:v>
                </c:pt>
                <c:pt idx="5">
                  <c:v>0.52500000000000002</c:v>
                </c:pt>
                <c:pt idx="6">
                  <c:v>0.53750000000000009</c:v>
                </c:pt>
                <c:pt idx="7">
                  <c:v>0.53750000000000009</c:v>
                </c:pt>
                <c:pt idx="8">
                  <c:v>0.5625</c:v>
                </c:pt>
                <c:pt idx="9">
                  <c:v>0.51999999999999991</c:v>
                </c:pt>
                <c:pt idx="10">
                  <c:v>0.56666666666666676</c:v>
                </c:pt>
                <c:pt idx="11">
                  <c:v>0.51999999999999991</c:v>
                </c:pt>
              </c:numCache>
            </c:numRef>
          </c:val>
          <c:smooth val="0"/>
          <c:extLst>
            <c:ext xmlns:c16="http://schemas.microsoft.com/office/drawing/2014/chart" uri="{C3380CC4-5D6E-409C-BE32-E72D297353CC}">
              <c16:uniqueId val="{00000002-CA2A-3344-836C-1B992F61D390}"/>
            </c:ext>
          </c:extLst>
        </c:ser>
        <c:ser>
          <c:idx val="3"/>
          <c:order val="3"/>
          <c:tx>
            <c:strRef>
              <c:f>Charts!$E$44:$E$45</c:f>
              <c:strCache>
                <c:ptCount val="1"/>
                <c:pt idx="0">
                  <c:v>Fanta</c:v>
                </c:pt>
              </c:strCache>
            </c:strRef>
          </c:tx>
          <c:marker>
            <c:symbol val="none"/>
          </c:marker>
          <c:cat>
            <c:strRef>
              <c:f>Charts!$A$46:$A$58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Charts!$E$46:$E$58</c:f>
              <c:numCache>
                <c:formatCode>General</c:formatCode>
                <c:ptCount val="12"/>
                <c:pt idx="0">
                  <c:v>0.53333333333333333</c:v>
                </c:pt>
                <c:pt idx="1">
                  <c:v>0.4375</c:v>
                </c:pt>
                <c:pt idx="2">
                  <c:v>0.4375</c:v>
                </c:pt>
                <c:pt idx="3">
                  <c:v>0.47499999999999998</c:v>
                </c:pt>
                <c:pt idx="4">
                  <c:v>0.47499999999999998</c:v>
                </c:pt>
                <c:pt idx="5">
                  <c:v>0.48749999999999999</c:v>
                </c:pt>
                <c:pt idx="6">
                  <c:v>0.48749999999999999</c:v>
                </c:pt>
                <c:pt idx="7">
                  <c:v>0.48749999999999999</c:v>
                </c:pt>
                <c:pt idx="8">
                  <c:v>0.51249999999999996</c:v>
                </c:pt>
                <c:pt idx="9">
                  <c:v>0.51</c:v>
                </c:pt>
                <c:pt idx="10">
                  <c:v>0.53333333333333333</c:v>
                </c:pt>
                <c:pt idx="11">
                  <c:v>0.51999999999999991</c:v>
                </c:pt>
              </c:numCache>
            </c:numRef>
          </c:val>
          <c:smooth val="0"/>
          <c:extLst>
            <c:ext xmlns:c16="http://schemas.microsoft.com/office/drawing/2014/chart" uri="{C3380CC4-5D6E-409C-BE32-E72D297353CC}">
              <c16:uniqueId val="{00000003-CA2A-3344-836C-1B992F61D390}"/>
            </c:ext>
          </c:extLst>
        </c:ser>
        <c:ser>
          <c:idx val="4"/>
          <c:order val="4"/>
          <c:tx>
            <c:strRef>
              <c:f>Charts!$F$44:$F$45</c:f>
              <c:strCache>
                <c:ptCount val="1"/>
                <c:pt idx="0">
                  <c:v>Powerade</c:v>
                </c:pt>
              </c:strCache>
            </c:strRef>
          </c:tx>
          <c:marker>
            <c:symbol val="none"/>
          </c:marker>
          <c:cat>
            <c:strRef>
              <c:f>Charts!$A$46:$A$58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Charts!$F$46:$F$58</c:f>
              <c:numCache>
                <c:formatCode>General</c:formatCode>
                <c:ptCount val="12"/>
                <c:pt idx="0">
                  <c:v>0.6333333333333333</c:v>
                </c:pt>
                <c:pt idx="1">
                  <c:v>0.51250000000000007</c:v>
                </c:pt>
                <c:pt idx="2">
                  <c:v>0.51250000000000007</c:v>
                </c:pt>
                <c:pt idx="3">
                  <c:v>0.55000000000000004</c:v>
                </c:pt>
                <c:pt idx="4">
                  <c:v>0.55000000000000004</c:v>
                </c:pt>
                <c:pt idx="5">
                  <c:v>0.55000000000000004</c:v>
                </c:pt>
                <c:pt idx="6">
                  <c:v>0.55000000000000004</c:v>
                </c:pt>
                <c:pt idx="7">
                  <c:v>0.55000000000000004</c:v>
                </c:pt>
                <c:pt idx="8">
                  <c:v>0.6</c:v>
                </c:pt>
                <c:pt idx="9">
                  <c:v>0.55000000000000004</c:v>
                </c:pt>
                <c:pt idx="10">
                  <c:v>0.6333333333333333</c:v>
                </c:pt>
                <c:pt idx="11">
                  <c:v>0.55999999999999994</c:v>
                </c:pt>
              </c:numCache>
            </c:numRef>
          </c:val>
          <c:smooth val="0"/>
          <c:extLst>
            <c:ext xmlns:c16="http://schemas.microsoft.com/office/drawing/2014/chart" uri="{C3380CC4-5D6E-409C-BE32-E72D297353CC}">
              <c16:uniqueId val="{00000004-CA2A-3344-836C-1B992F61D390}"/>
            </c:ext>
          </c:extLst>
        </c:ser>
        <c:ser>
          <c:idx val="5"/>
          <c:order val="5"/>
          <c:tx>
            <c:strRef>
              <c:f>Charts!$G$44:$G$45</c:f>
              <c:strCache>
                <c:ptCount val="1"/>
                <c:pt idx="0">
                  <c:v>Sprite</c:v>
                </c:pt>
              </c:strCache>
            </c:strRef>
          </c:tx>
          <c:marker>
            <c:symbol val="none"/>
          </c:marker>
          <c:cat>
            <c:strRef>
              <c:f>Charts!$A$46:$A$58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Charts!$G$46:$G$58</c:f>
              <c:numCache>
                <c:formatCode>General</c:formatCode>
                <c:ptCount val="12"/>
                <c:pt idx="0">
                  <c:v>0.53333333333333333</c:v>
                </c:pt>
                <c:pt idx="1">
                  <c:v>0.40000000000000008</c:v>
                </c:pt>
                <c:pt idx="2">
                  <c:v>0.44000000000000006</c:v>
                </c:pt>
                <c:pt idx="3">
                  <c:v>0.44999999999999996</c:v>
                </c:pt>
                <c:pt idx="4">
                  <c:v>0.47499999999999998</c:v>
                </c:pt>
                <c:pt idx="5">
                  <c:v>0.5</c:v>
                </c:pt>
                <c:pt idx="6">
                  <c:v>0.51249999999999996</c:v>
                </c:pt>
                <c:pt idx="7">
                  <c:v>0.51249999999999996</c:v>
                </c:pt>
                <c:pt idx="8">
                  <c:v>0.51249999999999996</c:v>
                </c:pt>
                <c:pt idx="9">
                  <c:v>0.51</c:v>
                </c:pt>
                <c:pt idx="10">
                  <c:v>0.53333333333333333</c:v>
                </c:pt>
                <c:pt idx="11">
                  <c:v>0.51999999999999991</c:v>
                </c:pt>
              </c:numCache>
            </c:numRef>
          </c:val>
          <c:smooth val="0"/>
          <c:extLst>
            <c:ext xmlns:c16="http://schemas.microsoft.com/office/drawing/2014/chart" uri="{C3380CC4-5D6E-409C-BE32-E72D297353CC}">
              <c16:uniqueId val="{00000005-CA2A-3344-836C-1B992F61D390}"/>
            </c:ext>
          </c:extLst>
        </c:ser>
        <c:dLbls>
          <c:showLegendKey val="0"/>
          <c:showVal val="0"/>
          <c:showCatName val="0"/>
          <c:showSerName val="0"/>
          <c:showPercent val="0"/>
          <c:showBubbleSize val="0"/>
        </c:dLbls>
        <c:smooth val="0"/>
        <c:axId val="1879428544"/>
        <c:axId val="1122030080"/>
      </c:lineChart>
      <c:catAx>
        <c:axId val="1879428544"/>
        <c:scaling>
          <c:orientation val="minMax"/>
        </c:scaling>
        <c:delete val="0"/>
        <c:axPos val="b"/>
        <c:numFmt formatCode="General" sourceLinked="1"/>
        <c:majorTickMark val="out"/>
        <c:minorTickMark val="none"/>
        <c:tickLblPos val="nextTo"/>
        <c:crossAx val="1122030080"/>
        <c:crosses val="autoZero"/>
        <c:auto val="1"/>
        <c:lblAlgn val="ctr"/>
        <c:lblOffset val="100"/>
        <c:noMultiLvlLbl val="0"/>
      </c:catAx>
      <c:valAx>
        <c:axId val="1122030080"/>
        <c:scaling>
          <c:orientation val="minMax"/>
        </c:scaling>
        <c:delete val="0"/>
        <c:axPos val="l"/>
        <c:majorGridlines/>
        <c:numFmt formatCode="General" sourceLinked="1"/>
        <c:majorTickMark val="out"/>
        <c:minorTickMark val="none"/>
        <c:tickLblPos val="nextTo"/>
        <c:crossAx val="187942854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24902</xdr:rowOff>
    </xdr:from>
    <xdr:to>
      <xdr:col>17</xdr:col>
      <xdr:colOff>958725</xdr:colOff>
      <xdr:row>9</xdr:row>
      <xdr:rowOff>167341</xdr:rowOff>
    </xdr:to>
    <xdr:sp macro="" textlink="">
      <xdr:nvSpPr>
        <xdr:cNvPr id="16" name="Rectangle 15">
          <a:extLst>
            <a:ext uri="{FF2B5EF4-FFF2-40B4-BE49-F238E27FC236}">
              <a16:creationId xmlns:a16="http://schemas.microsoft.com/office/drawing/2014/main" id="{32589F13-5C75-021A-88FB-940F29AEBA26}"/>
            </a:ext>
          </a:extLst>
        </xdr:cNvPr>
        <xdr:cNvSpPr/>
      </xdr:nvSpPr>
      <xdr:spPr>
        <a:xfrm>
          <a:off x="0" y="24902"/>
          <a:ext cx="17257058" cy="1561851"/>
        </a:xfrm>
        <a:prstGeom prst="rect">
          <a:avLst/>
        </a:prstGeom>
        <a:solidFill>
          <a:schemeClr val="accent3">
            <a:lumMod val="60000"/>
            <a:lumOff val="40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400">
            <a:solidFill>
              <a:schemeClr val="bg2"/>
            </a:solidFill>
            <a:effectLst>
              <a:outerShdw blurRad="63500" sx="102000" sy="102000" algn="ctr" rotWithShape="0">
                <a:prstClr val="black">
                  <a:alpha val="40000"/>
                </a:prstClr>
              </a:outerShdw>
            </a:effectLst>
            <a:latin typeface="Impact" panose="020B0806030902050204" pitchFamily="34" charset="0"/>
          </a:endParaRPr>
        </a:p>
        <a:p>
          <a:pPr algn="l"/>
          <a:r>
            <a:rPr lang="en-US" sz="4000">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effectLst>
                <a:outerShdw blurRad="50800" dist="25400" dir="8100000" algn="tr" rotWithShape="0">
                  <a:prstClr val="black">
                    <a:alpha val="17132"/>
                  </a:prstClr>
                </a:outerShdw>
              </a:effectLst>
              <a:latin typeface="Impact" panose="020B0806030902050204" pitchFamily="34" charset="0"/>
            </a:rPr>
            <a:t>	Beverage Sales Analytics Dashboard</a:t>
          </a:r>
        </a:p>
      </xdr:txBody>
    </xdr:sp>
    <xdr:clientData/>
  </xdr:twoCellAnchor>
  <xdr:twoCellAnchor>
    <xdr:from>
      <xdr:col>1</xdr:col>
      <xdr:colOff>0</xdr:colOff>
      <xdr:row>14</xdr:row>
      <xdr:rowOff>69850</xdr:rowOff>
    </xdr:from>
    <xdr:to>
      <xdr:col>6</xdr:col>
      <xdr:colOff>12700</xdr:colOff>
      <xdr:row>27</xdr:row>
      <xdr:rowOff>146050</xdr:rowOff>
    </xdr:to>
    <xdr:sp macro="" textlink="">
      <xdr:nvSpPr>
        <xdr:cNvPr id="7" name="Rounded Rectangle 6">
          <a:extLst>
            <a:ext uri="{FF2B5EF4-FFF2-40B4-BE49-F238E27FC236}">
              <a16:creationId xmlns:a16="http://schemas.microsoft.com/office/drawing/2014/main" id="{00000000-0008-0000-0100-000007000000}"/>
            </a:ext>
          </a:extLst>
        </xdr:cNvPr>
        <xdr:cNvSpPr/>
      </xdr:nvSpPr>
      <xdr:spPr>
        <a:xfrm>
          <a:off x="825500" y="2165350"/>
          <a:ext cx="4140200" cy="2552700"/>
        </a:xfrm>
        <a:prstGeom prst="roundRect">
          <a:avLst>
            <a:gd name="adj" fmla="val 3000"/>
          </a:avLst>
        </a:prstGeom>
        <a:solidFill>
          <a:schemeClr val="accent5">
            <a:lumMod val="20000"/>
            <a:lumOff val="80000"/>
          </a:schemeClr>
        </a:solidFill>
        <a:ln w="19050" cap="flat" cmpd="sng" algn="ctr">
          <a:noFill/>
          <a:prstDash val="solid"/>
          <a:miter lim="800000"/>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0">
              <a:solidFill>
                <a:schemeClr val="accent2"/>
              </a:solidFill>
              <a:latin typeface="WHITNEY-MEDIUM" pitchFamily="2" charset="77"/>
            </a:rPr>
            <a:t>Revenue by Month</a:t>
          </a:r>
        </a:p>
      </xdr:txBody>
    </xdr:sp>
    <xdr:clientData/>
  </xdr:twoCellAnchor>
  <xdr:twoCellAnchor>
    <xdr:from>
      <xdr:col>12</xdr:col>
      <xdr:colOff>74704</xdr:colOff>
      <xdr:row>2</xdr:row>
      <xdr:rowOff>24903</xdr:rowOff>
    </xdr:from>
    <xdr:to>
      <xdr:col>16</xdr:col>
      <xdr:colOff>473136</xdr:colOff>
      <xdr:row>14</xdr:row>
      <xdr:rowOff>161863</xdr:rowOff>
    </xdr:to>
    <xdr:grpSp>
      <xdr:nvGrpSpPr>
        <xdr:cNvPr id="33" name="Group 32">
          <a:extLst>
            <a:ext uri="{FF2B5EF4-FFF2-40B4-BE49-F238E27FC236}">
              <a16:creationId xmlns:a16="http://schemas.microsoft.com/office/drawing/2014/main" id="{E4C1EE76-A475-A827-B58D-4E25A1E369A2}"/>
            </a:ext>
          </a:extLst>
        </xdr:cNvPr>
        <xdr:cNvGrpSpPr/>
      </xdr:nvGrpSpPr>
      <xdr:grpSpPr>
        <a:xfrm>
          <a:off x="11466219" y="384095"/>
          <a:ext cx="4195604" cy="2317768"/>
          <a:chOff x="9388039" y="684804"/>
          <a:chExt cx="4233334" cy="1070784"/>
        </a:xfrm>
        <a:effectLst>
          <a:outerShdw blurRad="50800" dist="12700" dir="13500000" algn="br" rotWithShape="0">
            <a:prstClr val="black">
              <a:alpha val="40000"/>
            </a:prstClr>
          </a:outerShdw>
        </a:effectLst>
      </xdr:grpSpPr>
      <xdr:sp macro="" textlink="">
        <xdr:nvSpPr>
          <xdr:cNvPr id="32" name="Rounded Rectangle 31">
            <a:extLst>
              <a:ext uri="{FF2B5EF4-FFF2-40B4-BE49-F238E27FC236}">
                <a16:creationId xmlns:a16="http://schemas.microsoft.com/office/drawing/2014/main" id="{93AC11B8-A053-373E-EFB1-1C3CE77300CF}"/>
              </a:ext>
            </a:extLst>
          </xdr:cNvPr>
          <xdr:cNvSpPr/>
        </xdr:nvSpPr>
        <xdr:spPr>
          <a:xfrm>
            <a:off x="9388039" y="684804"/>
            <a:ext cx="4233334" cy="1070784"/>
          </a:xfrm>
          <a:prstGeom prst="roundRect">
            <a:avLst>
              <a:gd name="adj" fmla="val 8470"/>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n-US" sz="1400">
              <a:solidFill>
                <a:schemeClr val="bg2"/>
              </a:solidFill>
              <a:effectLst/>
              <a:latin typeface="Impact" panose="020B0806030902050204" pitchFamily="34" charset="0"/>
              <a:ea typeface="+mn-ea"/>
              <a:cs typeface="+mn-cs"/>
            </a:endParaRPr>
          </a:p>
        </xdr:txBody>
      </xdr:sp>
      <mc:AlternateContent xmlns:mc="http://schemas.openxmlformats.org/markup-compatibility/2006">
        <mc:Choice xmlns:a14="http://schemas.microsoft.com/office/drawing/2010/main" Requires="a14">
          <xdr:graphicFrame macro="">
            <xdr:nvGraphicFramePr>
              <xdr:cNvPr id="15" name="Retailer 2">
                <a:extLst>
                  <a:ext uri="{FF2B5EF4-FFF2-40B4-BE49-F238E27FC236}">
                    <a16:creationId xmlns:a16="http://schemas.microsoft.com/office/drawing/2014/main" id="{A4071416-EC0B-C848-848F-449AED25B73A}"/>
                  </a:ext>
                </a:extLst>
              </xdr:cNvPr>
              <xdr:cNvGraphicFramePr/>
            </xdr:nvGraphicFramePr>
            <xdr:xfrm>
              <a:off x="9487647" y="747060"/>
              <a:ext cx="4034118" cy="385979"/>
            </xdr:xfrm>
            <a:graphic>
              <a:graphicData uri="http://schemas.microsoft.com/office/drawing/2010/slicer">
                <sle:slicer xmlns:sle="http://schemas.microsoft.com/office/drawing/2010/slicer" name="Retailer 2"/>
              </a:graphicData>
            </a:graphic>
          </xdr:graphicFrame>
        </mc:Choice>
        <mc:Fallback>
          <xdr:sp macro="" textlink="">
            <xdr:nvSpPr>
              <xdr:cNvPr id="0" name=""/>
              <xdr:cNvSpPr>
                <a:spLocks noTextEdit="1"/>
              </xdr:cNvSpPr>
            </xdr:nvSpPr>
            <xdr:spPr>
              <a:xfrm>
                <a:off x="11564939" y="518851"/>
                <a:ext cx="3998164" cy="8354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11</xdr:col>
      <xdr:colOff>0</xdr:colOff>
      <xdr:row>10</xdr:row>
      <xdr:rowOff>154878</xdr:rowOff>
    </xdr:from>
    <xdr:to>
      <xdr:col>16</xdr:col>
      <xdr:colOff>882805</xdr:colOff>
      <xdr:row>21</xdr:row>
      <xdr:rowOff>92926</xdr:rowOff>
    </xdr:to>
    <xdr:sp macro="" textlink="">
      <xdr:nvSpPr>
        <xdr:cNvPr id="35" name="Rectangle 34">
          <a:extLst>
            <a:ext uri="{FF2B5EF4-FFF2-40B4-BE49-F238E27FC236}">
              <a16:creationId xmlns:a16="http://schemas.microsoft.com/office/drawing/2014/main" id="{24D07009-5E6D-30C5-EB51-A4C29A415ACB}"/>
            </a:ext>
          </a:extLst>
        </xdr:cNvPr>
        <xdr:cNvSpPr/>
      </xdr:nvSpPr>
      <xdr:spPr>
        <a:xfrm>
          <a:off x="10562683" y="1889512"/>
          <a:ext cx="5684024" cy="1812073"/>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406400</xdr:colOff>
      <xdr:row>14</xdr:row>
      <xdr:rowOff>69850</xdr:rowOff>
    </xdr:from>
    <xdr:to>
      <xdr:col>11</xdr:col>
      <xdr:colOff>419100</xdr:colOff>
      <xdr:row>27</xdr:row>
      <xdr:rowOff>146050</xdr:rowOff>
    </xdr:to>
    <xdr:sp macro="" textlink="">
      <xdr:nvSpPr>
        <xdr:cNvPr id="28" name="Rounded Rectangle 27">
          <a:extLst>
            <a:ext uri="{FF2B5EF4-FFF2-40B4-BE49-F238E27FC236}">
              <a16:creationId xmlns:a16="http://schemas.microsoft.com/office/drawing/2014/main" id="{00000000-0008-0000-0100-00001C000000}"/>
            </a:ext>
          </a:extLst>
        </xdr:cNvPr>
        <xdr:cNvSpPr/>
      </xdr:nvSpPr>
      <xdr:spPr>
        <a:xfrm>
          <a:off x="5359400" y="2165350"/>
          <a:ext cx="4140200" cy="2552700"/>
        </a:xfrm>
        <a:prstGeom prst="roundRect">
          <a:avLst>
            <a:gd name="adj" fmla="val 3000"/>
          </a:avLst>
        </a:prstGeom>
        <a:solidFill>
          <a:schemeClr val="accent5">
            <a:lumMod val="20000"/>
            <a:lumOff val="80000"/>
          </a:schemeClr>
        </a:solidFill>
        <a:ln w="19050" cap="flat" cmpd="sng" algn="ctr">
          <a:noFill/>
          <a:prstDash val="solid"/>
          <a:miter lim="800000"/>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800" b="0">
              <a:solidFill>
                <a:schemeClr val="accent2"/>
              </a:solidFill>
              <a:latin typeface="WHITNEY-MEDIUM" pitchFamily="2" charset="77"/>
              <a:ea typeface="+mn-ea"/>
              <a:cs typeface="+mn-cs"/>
            </a:rPr>
            <a:t>Revenue by State</a:t>
          </a:r>
        </a:p>
      </xdr:txBody>
    </xdr:sp>
    <xdr:clientData/>
  </xdr:twoCellAnchor>
  <xdr:twoCellAnchor>
    <xdr:from>
      <xdr:col>1</xdr:col>
      <xdr:colOff>0</xdr:colOff>
      <xdr:row>28</xdr:row>
      <xdr:rowOff>177800</xdr:rowOff>
    </xdr:from>
    <xdr:to>
      <xdr:col>8</xdr:col>
      <xdr:colOff>635000</xdr:colOff>
      <xdr:row>48</xdr:row>
      <xdr:rowOff>101600</xdr:rowOff>
    </xdr:to>
    <xdr:sp macro="" textlink="">
      <xdr:nvSpPr>
        <xdr:cNvPr id="18" name="Rounded Rectangle 17">
          <a:extLst>
            <a:ext uri="{FF2B5EF4-FFF2-40B4-BE49-F238E27FC236}">
              <a16:creationId xmlns:a16="http://schemas.microsoft.com/office/drawing/2014/main" id="{00000000-0008-0000-0100-000012000000}"/>
            </a:ext>
          </a:extLst>
        </xdr:cNvPr>
        <xdr:cNvSpPr/>
      </xdr:nvSpPr>
      <xdr:spPr>
        <a:xfrm>
          <a:off x="825500" y="4940300"/>
          <a:ext cx="6413500" cy="3733800"/>
        </a:xfrm>
        <a:prstGeom prst="roundRect">
          <a:avLst>
            <a:gd name="adj" fmla="val 3000"/>
          </a:avLst>
        </a:prstGeom>
        <a:solidFill>
          <a:schemeClr val="accent5">
            <a:lumMod val="20000"/>
            <a:lumOff val="80000"/>
          </a:schemeClr>
        </a:solidFill>
        <a:ln w="19050" cap="flat" cmpd="sng" algn="ctr">
          <a:noFill/>
          <a:prstDash val="solid"/>
          <a:miter lim="800000"/>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800" b="0">
              <a:solidFill>
                <a:schemeClr val="accent2"/>
              </a:solidFill>
              <a:latin typeface="WHITNEY-MEDIUM" pitchFamily="2" charset="77"/>
              <a:ea typeface="+mn-ea"/>
              <a:cs typeface="+mn-cs"/>
            </a:rPr>
            <a:t>Revenue by Beverage Brand</a:t>
          </a:r>
        </a:p>
      </xdr:txBody>
    </xdr:sp>
    <xdr:clientData/>
  </xdr:twoCellAnchor>
  <xdr:twoCellAnchor>
    <xdr:from>
      <xdr:col>11</xdr:col>
      <xdr:colOff>812800</xdr:colOff>
      <xdr:row>14</xdr:row>
      <xdr:rowOff>69850</xdr:rowOff>
    </xdr:from>
    <xdr:to>
      <xdr:col>17</xdr:col>
      <xdr:colOff>0</xdr:colOff>
      <xdr:row>27</xdr:row>
      <xdr:rowOff>146050</xdr:rowOff>
    </xdr:to>
    <xdr:sp macro="" textlink="">
      <xdr:nvSpPr>
        <xdr:cNvPr id="29" name="Rounded Rectangle 28">
          <a:extLst>
            <a:ext uri="{FF2B5EF4-FFF2-40B4-BE49-F238E27FC236}">
              <a16:creationId xmlns:a16="http://schemas.microsoft.com/office/drawing/2014/main" id="{00000000-0008-0000-0100-00001D000000}"/>
            </a:ext>
          </a:extLst>
        </xdr:cNvPr>
        <xdr:cNvSpPr/>
      </xdr:nvSpPr>
      <xdr:spPr>
        <a:xfrm>
          <a:off x="9893300" y="2165350"/>
          <a:ext cx="4140200" cy="2552700"/>
        </a:xfrm>
        <a:prstGeom prst="roundRect">
          <a:avLst>
            <a:gd name="adj" fmla="val 3000"/>
          </a:avLst>
        </a:prstGeom>
        <a:solidFill>
          <a:schemeClr val="accent5">
            <a:lumMod val="20000"/>
            <a:lumOff val="80000"/>
          </a:schemeClr>
        </a:solidFill>
        <a:ln w="19050" cap="flat" cmpd="sng" algn="ctr">
          <a:noFill/>
          <a:prstDash val="solid"/>
          <a:miter lim="800000"/>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800" b="0">
              <a:solidFill>
                <a:schemeClr val="accent2"/>
              </a:solidFill>
              <a:latin typeface="WHITNEY-MEDIUM" pitchFamily="2" charset="77"/>
              <a:ea typeface="+mn-ea"/>
              <a:cs typeface="+mn-cs"/>
            </a:rPr>
            <a:t>Units sold by beverage brand</a:t>
          </a:r>
        </a:p>
      </xdr:txBody>
    </xdr:sp>
    <xdr:clientData/>
  </xdr:twoCellAnchor>
  <xdr:twoCellAnchor>
    <xdr:from>
      <xdr:col>9</xdr:col>
      <xdr:colOff>203200</xdr:colOff>
      <xdr:row>28</xdr:row>
      <xdr:rowOff>177800</xdr:rowOff>
    </xdr:from>
    <xdr:to>
      <xdr:col>17</xdr:col>
      <xdr:colOff>12700</xdr:colOff>
      <xdr:row>48</xdr:row>
      <xdr:rowOff>101600</xdr:rowOff>
    </xdr:to>
    <xdr:sp macro="" textlink="">
      <xdr:nvSpPr>
        <xdr:cNvPr id="30" name="Rounded Rectangle 29">
          <a:extLst>
            <a:ext uri="{FF2B5EF4-FFF2-40B4-BE49-F238E27FC236}">
              <a16:creationId xmlns:a16="http://schemas.microsoft.com/office/drawing/2014/main" id="{00000000-0008-0000-0100-00001E000000}"/>
            </a:ext>
          </a:extLst>
        </xdr:cNvPr>
        <xdr:cNvSpPr/>
      </xdr:nvSpPr>
      <xdr:spPr>
        <a:xfrm>
          <a:off x="7632700" y="4940300"/>
          <a:ext cx="6413500" cy="3733800"/>
        </a:xfrm>
        <a:prstGeom prst="roundRect">
          <a:avLst>
            <a:gd name="adj" fmla="val 3000"/>
          </a:avLst>
        </a:prstGeom>
        <a:solidFill>
          <a:schemeClr val="accent5">
            <a:lumMod val="20000"/>
            <a:lumOff val="80000"/>
          </a:schemeClr>
        </a:solidFill>
        <a:ln w="19050" cap="flat" cmpd="sng" algn="ctr">
          <a:noFill/>
          <a:prstDash val="solid"/>
          <a:miter lim="800000"/>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800" b="0">
              <a:solidFill>
                <a:schemeClr val="accent2"/>
              </a:solidFill>
              <a:latin typeface="WHITNEY-MEDIUM" pitchFamily="2" charset="77"/>
              <a:ea typeface="+mn-ea"/>
              <a:cs typeface="+mn-cs"/>
            </a:rPr>
            <a:t>Price per unit over time</a:t>
          </a:r>
        </a:p>
      </xdr:txBody>
    </xdr:sp>
    <xdr:clientData/>
  </xdr:twoCellAnchor>
  <xdr:twoCellAnchor>
    <xdr:from>
      <xdr:col>1</xdr:col>
      <xdr:colOff>14194</xdr:colOff>
      <xdr:row>6</xdr:row>
      <xdr:rowOff>146174</xdr:rowOff>
    </xdr:from>
    <xdr:to>
      <xdr:col>4</xdr:col>
      <xdr:colOff>64097</xdr:colOff>
      <xdr:row>13</xdr:row>
      <xdr:rowOff>82674</xdr:rowOff>
    </xdr:to>
    <xdr:sp macro="" textlink="">
      <xdr:nvSpPr>
        <xdr:cNvPr id="27" name="Rounded Rectangle 26">
          <a:extLst>
            <a:ext uri="{FF2B5EF4-FFF2-40B4-BE49-F238E27FC236}">
              <a16:creationId xmlns:a16="http://schemas.microsoft.com/office/drawing/2014/main" id="{00000000-0008-0000-0100-00001B000000}"/>
            </a:ext>
          </a:extLst>
        </xdr:cNvPr>
        <xdr:cNvSpPr/>
      </xdr:nvSpPr>
      <xdr:spPr>
        <a:xfrm>
          <a:off x="972919" y="1216958"/>
          <a:ext cx="2926080" cy="1156696"/>
        </a:xfrm>
        <a:prstGeom prst="roundRect">
          <a:avLst>
            <a:gd name="adj" fmla="val 28834"/>
          </a:avLst>
        </a:prstGeom>
        <a:solidFill>
          <a:schemeClr val="tx2">
            <a:lumMod val="50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1800" b="0">
              <a:solidFill>
                <a:schemeClr val="tx2">
                  <a:lumMod val="40000"/>
                  <a:lumOff val="60000"/>
                </a:schemeClr>
              </a:solidFill>
              <a:effectLst>
                <a:outerShdw blurRad="63500" sx="102000" sy="102000" algn="ctr" rotWithShape="0">
                  <a:prstClr val="black">
                    <a:alpha val="40000"/>
                  </a:prstClr>
                </a:outerShdw>
              </a:effectLst>
              <a:latin typeface="WHITNEY-MEDIUM" pitchFamily="2" charset="77"/>
              <a:ea typeface="Open Sans" panose="020B0606030504020204" pitchFamily="34" charset="0"/>
              <a:cs typeface="Latha" panose="020B0604020202020204" pitchFamily="34" charset="0"/>
            </a:rPr>
            <a:t>Total Sales</a:t>
          </a:r>
        </a:p>
      </xdr:txBody>
    </xdr:sp>
    <xdr:clientData/>
  </xdr:twoCellAnchor>
  <xdr:twoCellAnchor>
    <xdr:from>
      <xdr:col>1</xdr:col>
      <xdr:colOff>24902</xdr:colOff>
      <xdr:row>9</xdr:row>
      <xdr:rowOff>82674</xdr:rowOff>
    </xdr:from>
    <xdr:to>
      <xdr:col>4</xdr:col>
      <xdr:colOff>62255</xdr:colOff>
      <xdr:row>13</xdr:row>
      <xdr:rowOff>82674</xdr:rowOff>
    </xdr:to>
    <xdr:sp macro="" textlink="Pivot!$A$2">
      <xdr:nvSpPr>
        <xdr:cNvPr id="2" name="TextBox 1">
          <a:extLst>
            <a:ext uri="{FF2B5EF4-FFF2-40B4-BE49-F238E27FC236}">
              <a16:creationId xmlns:a16="http://schemas.microsoft.com/office/drawing/2014/main" id="{00000000-0008-0000-0100-000002000000}"/>
            </a:ext>
          </a:extLst>
        </xdr:cNvPr>
        <xdr:cNvSpPr txBox="1"/>
      </xdr:nvSpPr>
      <xdr:spPr>
        <a:xfrm>
          <a:off x="983627" y="1676399"/>
          <a:ext cx="2913530" cy="697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C38064C-898F-964A-88D1-8BEDDE3CD8DF}" type="TxLink">
            <a:rPr lang="en-US" sz="2400" b="1" i="0" u="none" strike="noStrike">
              <a:solidFill>
                <a:schemeClr val="accent6">
                  <a:lumMod val="20000"/>
                  <a:lumOff val="80000"/>
                </a:schemeClr>
              </a:solidFill>
              <a:latin typeface="+mj-lt"/>
            </a:rPr>
            <a:pPr algn="ctr"/>
            <a:t>$1,213,017.50</a:t>
          </a:fld>
          <a:endParaRPr lang="en-US" sz="2400" b="1">
            <a:solidFill>
              <a:schemeClr val="accent6">
                <a:lumMod val="20000"/>
                <a:lumOff val="80000"/>
              </a:schemeClr>
            </a:solidFill>
            <a:latin typeface="+mj-lt"/>
          </a:endParaRPr>
        </a:p>
      </xdr:txBody>
    </xdr:sp>
    <xdr:clientData/>
  </xdr:twoCellAnchor>
  <xdr:twoCellAnchor>
    <xdr:from>
      <xdr:col>4</xdr:col>
      <xdr:colOff>236070</xdr:colOff>
      <xdr:row>6</xdr:row>
      <xdr:rowOff>146174</xdr:rowOff>
    </xdr:from>
    <xdr:to>
      <xdr:col>7</xdr:col>
      <xdr:colOff>285974</xdr:colOff>
      <xdr:row>13</xdr:row>
      <xdr:rowOff>82674</xdr:rowOff>
    </xdr:to>
    <xdr:sp macro="" textlink="">
      <xdr:nvSpPr>
        <xdr:cNvPr id="26" name="Rounded Rectangle 25">
          <a:extLst>
            <a:ext uri="{FF2B5EF4-FFF2-40B4-BE49-F238E27FC236}">
              <a16:creationId xmlns:a16="http://schemas.microsoft.com/office/drawing/2014/main" id="{00000000-0008-0000-0100-00001A000000}"/>
            </a:ext>
          </a:extLst>
        </xdr:cNvPr>
        <xdr:cNvSpPr/>
      </xdr:nvSpPr>
      <xdr:spPr>
        <a:xfrm>
          <a:off x="4070972" y="1216958"/>
          <a:ext cx="2926080" cy="1156696"/>
        </a:xfrm>
        <a:prstGeom prst="roundRect">
          <a:avLst>
            <a:gd name="adj" fmla="val 27758"/>
          </a:avLst>
        </a:prstGeom>
        <a:solidFill>
          <a:schemeClr val="tx2">
            <a:lumMod val="50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1800" b="0">
              <a:solidFill>
                <a:schemeClr val="tx2">
                  <a:lumMod val="40000"/>
                  <a:lumOff val="60000"/>
                </a:schemeClr>
              </a:solidFill>
              <a:effectLst>
                <a:outerShdw blurRad="63500" sx="102000" sy="102000" algn="ctr" rotWithShape="0">
                  <a:prstClr val="black">
                    <a:alpha val="40000"/>
                  </a:prstClr>
                </a:outerShdw>
              </a:effectLst>
              <a:latin typeface="WHITNEY-MEDIUM" pitchFamily="2" charset="77"/>
              <a:ea typeface="Open Sans" panose="020B0606030504020204" pitchFamily="34" charset="0"/>
              <a:cs typeface="Latha" panose="020B0604020202020204" pitchFamily="34" charset="0"/>
            </a:rPr>
            <a:t>Total Units Sold</a:t>
          </a:r>
        </a:p>
      </xdr:txBody>
    </xdr:sp>
    <xdr:clientData/>
  </xdr:twoCellAnchor>
  <xdr:twoCellAnchor>
    <xdr:from>
      <xdr:col>4</xdr:col>
      <xdr:colOff>541003</xdr:colOff>
      <xdr:row>9</xdr:row>
      <xdr:rowOff>82674</xdr:rowOff>
    </xdr:from>
    <xdr:to>
      <xdr:col>6</xdr:col>
      <xdr:colOff>939766</xdr:colOff>
      <xdr:row>13</xdr:row>
      <xdr:rowOff>82674</xdr:rowOff>
    </xdr:to>
    <xdr:sp macro="" textlink="Pivot!$A$6">
      <xdr:nvSpPr>
        <xdr:cNvPr id="3" name="TextBox 2">
          <a:extLst>
            <a:ext uri="{FF2B5EF4-FFF2-40B4-BE49-F238E27FC236}">
              <a16:creationId xmlns:a16="http://schemas.microsoft.com/office/drawing/2014/main" id="{00000000-0008-0000-0100-000003000000}"/>
            </a:ext>
          </a:extLst>
        </xdr:cNvPr>
        <xdr:cNvSpPr txBox="1"/>
      </xdr:nvSpPr>
      <xdr:spPr>
        <a:xfrm>
          <a:off x="4375905" y="1676399"/>
          <a:ext cx="2316214" cy="697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A7137EA-999B-6F41-A6D0-D692E2F6D3CD}" type="TxLink">
            <a:rPr lang="en-US" sz="2400" b="1" i="0" u="none" strike="noStrike">
              <a:solidFill>
                <a:schemeClr val="accent6">
                  <a:lumMod val="20000"/>
                  <a:lumOff val="80000"/>
                </a:schemeClr>
              </a:solidFill>
              <a:latin typeface="+mj-lt"/>
            </a:rPr>
            <a:pPr algn="ctr"/>
            <a:t> 2,309,850 </a:t>
          </a:fld>
          <a:endParaRPr lang="en-US" sz="2400" b="1">
            <a:solidFill>
              <a:schemeClr val="accent6">
                <a:lumMod val="20000"/>
                <a:lumOff val="80000"/>
              </a:schemeClr>
            </a:solidFill>
            <a:latin typeface="+mj-lt"/>
          </a:endParaRPr>
        </a:p>
      </xdr:txBody>
    </xdr:sp>
    <xdr:clientData/>
  </xdr:twoCellAnchor>
  <xdr:twoCellAnchor>
    <xdr:from>
      <xdr:col>7</xdr:col>
      <xdr:colOff>457947</xdr:colOff>
      <xdr:row>6</xdr:row>
      <xdr:rowOff>146174</xdr:rowOff>
    </xdr:from>
    <xdr:to>
      <xdr:col>10</xdr:col>
      <xdr:colOff>507850</xdr:colOff>
      <xdr:row>13</xdr:row>
      <xdr:rowOff>82674</xdr:rowOff>
    </xdr:to>
    <xdr:sp macro="" textlink="">
      <xdr:nvSpPr>
        <xdr:cNvPr id="25" name="Rounded Rectangle 24">
          <a:extLst>
            <a:ext uri="{FF2B5EF4-FFF2-40B4-BE49-F238E27FC236}">
              <a16:creationId xmlns:a16="http://schemas.microsoft.com/office/drawing/2014/main" id="{00000000-0008-0000-0100-000019000000}"/>
            </a:ext>
          </a:extLst>
        </xdr:cNvPr>
        <xdr:cNvSpPr/>
      </xdr:nvSpPr>
      <xdr:spPr>
        <a:xfrm>
          <a:off x="7169025" y="1216958"/>
          <a:ext cx="2926080" cy="1156696"/>
        </a:xfrm>
        <a:prstGeom prst="roundRect">
          <a:avLst>
            <a:gd name="adj" fmla="val 29911"/>
          </a:avLst>
        </a:prstGeom>
        <a:solidFill>
          <a:schemeClr val="tx2">
            <a:lumMod val="50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1800" b="0">
              <a:solidFill>
                <a:schemeClr val="tx2">
                  <a:lumMod val="40000"/>
                  <a:lumOff val="60000"/>
                </a:schemeClr>
              </a:solidFill>
              <a:effectLst>
                <a:outerShdw blurRad="63500" sx="102000" sy="102000" algn="ctr" rotWithShape="0">
                  <a:prstClr val="black">
                    <a:alpha val="40000"/>
                  </a:prstClr>
                </a:outerShdw>
              </a:effectLst>
              <a:latin typeface="WHITNEY-MEDIUM" pitchFamily="2" charset="77"/>
              <a:ea typeface="Open Sans" panose="020B0606030504020204" pitchFamily="34" charset="0"/>
              <a:cs typeface="Latha" panose="020B0604020202020204" pitchFamily="34" charset="0"/>
            </a:rPr>
            <a:t>Average Price per Unit</a:t>
          </a:r>
        </a:p>
      </xdr:txBody>
    </xdr:sp>
    <xdr:clientData/>
  </xdr:twoCellAnchor>
  <xdr:twoCellAnchor>
    <xdr:from>
      <xdr:col>7</xdr:col>
      <xdr:colOff>692156</xdr:colOff>
      <xdr:row>9</xdr:row>
      <xdr:rowOff>82674</xdr:rowOff>
    </xdr:from>
    <xdr:to>
      <xdr:col>10</xdr:col>
      <xdr:colOff>273642</xdr:colOff>
      <xdr:row>13</xdr:row>
      <xdr:rowOff>82674</xdr:rowOff>
    </xdr:to>
    <xdr:sp macro="" textlink="Pivot!$A$10">
      <xdr:nvSpPr>
        <xdr:cNvPr id="4" name="TextBox 3">
          <a:extLst>
            <a:ext uri="{FF2B5EF4-FFF2-40B4-BE49-F238E27FC236}">
              <a16:creationId xmlns:a16="http://schemas.microsoft.com/office/drawing/2014/main" id="{00000000-0008-0000-0100-000004000000}"/>
            </a:ext>
          </a:extLst>
        </xdr:cNvPr>
        <xdr:cNvSpPr txBox="1"/>
      </xdr:nvSpPr>
      <xdr:spPr>
        <a:xfrm>
          <a:off x="7403234" y="1676399"/>
          <a:ext cx="2457663" cy="697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D57480B-667A-E940-A69C-208AA08BA94C}" type="TxLink">
            <a:rPr lang="en-US" sz="2400" b="1" i="0" u="none" strike="noStrike">
              <a:solidFill>
                <a:schemeClr val="accent6">
                  <a:lumMod val="20000"/>
                  <a:lumOff val="80000"/>
                </a:schemeClr>
              </a:solidFill>
              <a:latin typeface="+mj-lt"/>
            </a:rPr>
            <a:pPr algn="ctr"/>
            <a:t>$0.52</a:t>
          </a:fld>
          <a:endParaRPr lang="en-US" sz="2400" b="1">
            <a:solidFill>
              <a:schemeClr val="accent6">
                <a:lumMod val="20000"/>
                <a:lumOff val="80000"/>
              </a:schemeClr>
            </a:solidFill>
            <a:latin typeface="+mj-lt"/>
          </a:endParaRPr>
        </a:p>
      </xdr:txBody>
    </xdr:sp>
    <xdr:clientData/>
  </xdr:twoCellAnchor>
  <xdr:twoCellAnchor>
    <xdr:from>
      <xdr:col>10</xdr:col>
      <xdr:colOff>679823</xdr:colOff>
      <xdr:row>6</xdr:row>
      <xdr:rowOff>146174</xdr:rowOff>
    </xdr:from>
    <xdr:to>
      <xdr:col>13</xdr:col>
      <xdr:colOff>729727</xdr:colOff>
      <xdr:row>13</xdr:row>
      <xdr:rowOff>82674</xdr:rowOff>
    </xdr:to>
    <xdr:sp macro="" textlink="">
      <xdr:nvSpPr>
        <xdr:cNvPr id="24" name="Rounded Rectangle 23">
          <a:extLst>
            <a:ext uri="{FF2B5EF4-FFF2-40B4-BE49-F238E27FC236}">
              <a16:creationId xmlns:a16="http://schemas.microsoft.com/office/drawing/2014/main" id="{00000000-0008-0000-0100-000018000000}"/>
            </a:ext>
          </a:extLst>
        </xdr:cNvPr>
        <xdr:cNvSpPr/>
      </xdr:nvSpPr>
      <xdr:spPr>
        <a:xfrm>
          <a:off x="10267078" y="1216958"/>
          <a:ext cx="2926080" cy="1156696"/>
        </a:xfrm>
        <a:prstGeom prst="roundRect">
          <a:avLst>
            <a:gd name="adj" fmla="val 30987"/>
          </a:avLst>
        </a:prstGeom>
        <a:solidFill>
          <a:schemeClr val="tx2">
            <a:lumMod val="50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1800" b="0">
              <a:solidFill>
                <a:schemeClr val="tx2">
                  <a:lumMod val="40000"/>
                  <a:lumOff val="60000"/>
                </a:schemeClr>
              </a:solidFill>
              <a:effectLst>
                <a:outerShdw blurRad="63500" sx="102000" sy="102000" algn="ctr" rotWithShape="0">
                  <a:prstClr val="black">
                    <a:alpha val="40000"/>
                  </a:prstClr>
                </a:outerShdw>
              </a:effectLst>
              <a:latin typeface="WHITNEY-MEDIUM" pitchFamily="2" charset="77"/>
              <a:ea typeface="Open Sans" panose="020B0606030504020204" pitchFamily="34" charset="0"/>
              <a:cs typeface="Latha" panose="020B0604020202020204" pitchFamily="34" charset="0"/>
            </a:rPr>
            <a:t>Top Beverage by Revenue</a:t>
          </a:r>
        </a:p>
      </xdr:txBody>
    </xdr:sp>
    <xdr:clientData/>
  </xdr:twoCellAnchor>
  <xdr:twoCellAnchor>
    <xdr:from>
      <xdr:col>10</xdr:col>
      <xdr:colOff>914031</xdr:colOff>
      <xdr:row>9</xdr:row>
      <xdr:rowOff>82674</xdr:rowOff>
    </xdr:from>
    <xdr:to>
      <xdr:col>13</xdr:col>
      <xdr:colOff>495520</xdr:colOff>
      <xdr:row>13</xdr:row>
      <xdr:rowOff>82674</xdr:rowOff>
    </xdr:to>
    <xdr:sp macro="" textlink="Pivot!$B$14">
      <xdr:nvSpPr>
        <xdr:cNvPr id="5" name="TextBox 4">
          <a:extLst>
            <a:ext uri="{FF2B5EF4-FFF2-40B4-BE49-F238E27FC236}">
              <a16:creationId xmlns:a16="http://schemas.microsoft.com/office/drawing/2014/main" id="{00000000-0008-0000-0100-000005000000}"/>
            </a:ext>
          </a:extLst>
        </xdr:cNvPr>
        <xdr:cNvSpPr txBox="1"/>
      </xdr:nvSpPr>
      <xdr:spPr>
        <a:xfrm>
          <a:off x="10501286" y="1676399"/>
          <a:ext cx="2457665" cy="697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9141227-A877-C040-B54E-B750E083C57F}" type="TxLink">
            <a:rPr lang="en-US" sz="2400" b="1" i="0" u="none" strike="noStrike">
              <a:solidFill>
                <a:schemeClr val="accent6">
                  <a:lumMod val="20000"/>
                  <a:lumOff val="80000"/>
                </a:schemeClr>
              </a:solidFill>
              <a:latin typeface="+mj-lt"/>
            </a:rPr>
            <a:pPr algn="ctr"/>
            <a:t>$233,775.00</a:t>
          </a:fld>
          <a:endParaRPr lang="en-US" sz="2400" b="1">
            <a:solidFill>
              <a:schemeClr val="accent6">
                <a:lumMod val="20000"/>
                <a:lumOff val="80000"/>
              </a:schemeClr>
            </a:solidFill>
            <a:latin typeface="+mj-lt"/>
          </a:endParaRPr>
        </a:p>
      </xdr:txBody>
    </xdr:sp>
    <xdr:clientData/>
  </xdr:twoCellAnchor>
  <xdr:twoCellAnchor>
    <xdr:from>
      <xdr:col>13</xdr:col>
      <xdr:colOff>901701</xdr:colOff>
      <xdr:row>6</xdr:row>
      <xdr:rowOff>146174</xdr:rowOff>
    </xdr:from>
    <xdr:to>
      <xdr:col>16</xdr:col>
      <xdr:colOff>951604</xdr:colOff>
      <xdr:row>13</xdr:row>
      <xdr:rowOff>82674</xdr:rowOff>
    </xdr:to>
    <xdr:sp macro="" textlink="">
      <xdr:nvSpPr>
        <xdr:cNvPr id="9" name="Rounded Rectangle 8">
          <a:extLst>
            <a:ext uri="{FF2B5EF4-FFF2-40B4-BE49-F238E27FC236}">
              <a16:creationId xmlns:a16="http://schemas.microsoft.com/office/drawing/2014/main" id="{00000000-0008-0000-0100-000009000000}"/>
            </a:ext>
          </a:extLst>
        </xdr:cNvPr>
        <xdr:cNvSpPr/>
      </xdr:nvSpPr>
      <xdr:spPr>
        <a:xfrm>
          <a:off x="13365132" y="1216958"/>
          <a:ext cx="2926080" cy="1156696"/>
        </a:xfrm>
        <a:prstGeom prst="roundRect">
          <a:avLst>
            <a:gd name="adj" fmla="val 32063"/>
          </a:avLst>
        </a:prstGeom>
        <a:solidFill>
          <a:schemeClr val="tx2">
            <a:lumMod val="50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1800" b="0">
              <a:solidFill>
                <a:schemeClr val="tx2">
                  <a:lumMod val="40000"/>
                  <a:lumOff val="60000"/>
                </a:schemeClr>
              </a:solidFill>
              <a:effectLst>
                <a:outerShdw blurRad="63500" sx="102000" sy="102000" algn="ctr" rotWithShape="0">
                  <a:prstClr val="black">
                    <a:alpha val="40000"/>
                  </a:prstClr>
                </a:outerShdw>
              </a:effectLst>
              <a:latin typeface="WHITNEY-MEDIUM" pitchFamily="2" charset="77"/>
              <a:ea typeface="Open Sans" panose="020B0606030504020204" pitchFamily="34" charset="0"/>
              <a:cs typeface="Latha" panose="020B0604020202020204" pitchFamily="34" charset="0"/>
            </a:rPr>
            <a:t>Average Days to Payment</a:t>
          </a:r>
        </a:p>
      </xdr:txBody>
    </xdr:sp>
    <xdr:clientData/>
  </xdr:twoCellAnchor>
  <xdr:twoCellAnchor>
    <xdr:from>
      <xdr:col>14</xdr:col>
      <xdr:colOff>247908</xdr:colOff>
      <xdr:row>9</xdr:row>
      <xdr:rowOff>82674</xdr:rowOff>
    </xdr:from>
    <xdr:to>
      <xdr:col>16</xdr:col>
      <xdr:colOff>646671</xdr:colOff>
      <xdr:row>13</xdr:row>
      <xdr:rowOff>82674</xdr:rowOff>
    </xdr:to>
    <xdr:sp macro="" textlink="Pivot!$A$19">
      <xdr:nvSpPr>
        <xdr:cNvPr id="6" name="TextBox 5">
          <a:extLst>
            <a:ext uri="{FF2B5EF4-FFF2-40B4-BE49-F238E27FC236}">
              <a16:creationId xmlns:a16="http://schemas.microsoft.com/office/drawing/2014/main" id="{00000000-0008-0000-0100-000006000000}"/>
            </a:ext>
          </a:extLst>
        </xdr:cNvPr>
        <xdr:cNvSpPr txBox="1"/>
      </xdr:nvSpPr>
      <xdr:spPr>
        <a:xfrm>
          <a:off x="13670065" y="1676399"/>
          <a:ext cx="2316214" cy="697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DC2536A-8625-7841-BA65-73B614E157EB}" type="TxLink">
            <a:rPr lang="en-US" sz="2400" b="1" i="0" u="none" strike="noStrike">
              <a:solidFill>
                <a:schemeClr val="accent6">
                  <a:lumMod val="20000"/>
                  <a:lumOff val="80000"/>
                </a:schemeClr>
              </a:solidFill>
              <a:latin typeface="+mj-lt"/>
            </a:rPr>
            <a:pPr algn="ctr"/>
            <a:t>30.59</a:t>
          </a:fld>
          <a:endParaRPr lang="en-US" sz="2400" b="1">
            <a:solidFill>
              <a:schemeClr val="accent6">
                <a:lumMod val="20000"/>
                <a:lumOff val="80000"/>
              </a:schemeClr>
            </a:solidFill>
            <a:latin typeface="+mj-lt"/>
          </a:endParaRPr>
        </a:p>
      </xdr:txBody>
    </xdr:sp>
    <xdr:clientData/>
  </xdr:twoCellAnchor>
  <xdr:twoCellAnchor>
    <xdr:from>
      <xdr:col>1</xdr:col>
      <xdr:colOff>98641</xdr:colOff>
      <xdr:row>31</xdr:row>
      <xdr:rowOff>89646</xdr:rowOff>
    </xdr:from>
    <xdr:to>
      <xdr:col>8</xdr:col>
      <xdr:colOff>505534</xdr:colOff>
      <xdr:row>47</xdr:row>
      <xdr:rowOff>147959</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61651</xdr:colOff>
      <xdr:row>16</xdr:row>
      <xdr:rowOff>24902</xdr:rowOff>
    </xdr:from>
    <xdr:to>
      <xdr:col>5</xdr:col>
      <xdr:colOff>921373</xdr:colOff>
      <xdr:row>27</xdr:row>
      <xdr:rowOff>124509</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896472</xdr:colOff>
      <xdr:row>16</xdr:row>
      <xdr:rowOff>104588</xdr:rowOff>
    </xdr:from>
    <xdr:to>
      <xdr:col>16</xdr:col>
      <xdr:colOff>896471</xdr:colOff>
      <xdr:row>27</xdr:row>
      <xdr:rowOff>49320</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308251</xdr:colOff>
      <xdr:row>31</xdr:row>
      <xdr:rowOff>12330</xdr:rowOff>
    </xdr:from>
    <xdr:to>
      <xdr:col>16</xdr:col>
      <xdr:colOff>702815</xdr:colOff>
      <xdr:row>47</xdr:row>
      <xdr:rowOff>160291</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517863</xdr:colOff>
      <xdr:row>16</xdr:row>
      <xdr:rowOff>0</xdr:rowOff>
    </xdr:from>
    <xdr:to>
      <xdr:col>11</xdr:col>
      <xdr:colOff>320581</xdr:colOff>
      <xdr:row>27</xdr:row>
      <xdr:rowOff>73980</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12700</xdr:colOff>
          <xdr:row>1</xdr:row>
          <xdr:rowOff>12700</xdr:rowOff>
        </xdr:from>
        <xdr:to>
          <xdr:col>8</xdr:col>
          <xdr:colOff>711200</xdr:colOff>
          <xdr:row>3</xdr:row>
          <xdr:rowOff>12700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Generate Pivot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12700</xdr:rowOff>
        </xdr:from>
        <xdr:to>
          <xdr:col>8</xdr:col>
          <xdr:colOff>698500</xdr:colOff>
          <xdr:row>3</xdr:row>
          <xdr:rowOff>12700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Generate Pivot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12700</xdr:colOff>
          <xdr:row>1</xdr:row>
          <xdr:rowOff>12700</xdr:rowOff>
        </xdr:from>
        <xdr:to>
          <xdr:col>8</xdr:col>
          <xdr:colOff>609600</xdr:colOff>
          <xdr:row>3</xdr:row>
          <xdr:rowOff>12700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Generate Graphs</a:t>
              </a:r>
            </a:p>
          </xdr:txBody>
        </xdr:sp>
        <xdr:clientData fPrintsWithSheet="0"/>
      </xdr:twoCellAnchor>
    </mc:Choice>
    <mc:Fallback/>
  </mc:AlternateContent>
  <xdr:twoCellAnchor>
    <xdr:from>
      <xdr:col>2</xdr:col>
      <xdr:colOff>431800</xdr:colOff>
      <xdr:row>3</xdr:row>
      <xdr:rowOff>88900</xdr:rowOff>
    </xdr:from>
    <xdr:to>
      <xdr:col>8</xdr:col>
      <xdr:colOff>508000</xdr:colOff>
      <xdr:row>23</xdr:row>
      <xdr:rowOff>88900</xdr:rowOff>
    </xdr:to>
    <xdr:graphicFrame macro="">
      <xdr:nvGraphicFramePr>
        <xdr:cNvPr id="2" name="Chart 1">
          <a:extLst>
            <a:ext uri="{FF2B5EF4-FFF2-40B4-BE49-F238E27FC236}">
              <a16:creationId xmlns:a16="http://schemas.microsoft.com/office/drawing/2014/main" id="{030660D9-CB5D-F657-8D7C-A3DBACE930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685800</xdr:colOff>
      <xdr:row>21</xdr:row>
      <xdr:rowOff>63500</xdr:rowOff>
    </xdr:from>
    <xdr:to>
      <xdr:col>14</xdr:col>
      <xdr:colOff>596900</xdr:colOff>
      <xdr:row>41</xdr:row>
      <xdr:rowOff>63500</xdr:rowOff>
    </xdr:to>
    <xdr:graphicFrame macro="">
      <xdr:nvGraphicFramePr>
        <xdr:cNvPr id="3" name="Chart 2">
          <a:extLst>
            <a:ext uri="{FF2B5EF4-FFF2-40B4-BE49-F238E27FC236}">
              <a16:creationId xmlns:a16="http://schemas.microsoft.com/office/drawing/2014/main" id="{DBC47C39-A4E2-89E8-4224-399021CA62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673100</xdr:colOff>
      <xdr:row>41</xdr:row>
      <xdr:rowOff>177800</xdr:rowOff>
    </xdr:from>
    <xdr:to>
      <xdr:col>15</xdr:col>
      <xdr:colOff>533400</xdr:colOff>
      <xdr:row>61</xdr:row>
      <xdr:rowOff>177800</xdr:rowOff>
    </xdr:to>
    <xdr:graphicFrame macro="">
      <xdr:nvGraphicFramePr>
        <xdr:cNvPr id="4" name="Chart 3">
          <a:extLst>
            <a:ext uri="{FF2B5EF4-FFF2-40B4-BE49-F238E27FC236}">
              <a16:creationId xmlns:a16="http://schemas.microsoft.com/office/drawing/2014/main" id="{1BB08CBB-A6D5-74A8-97FE-2F3622CD0F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266700</xdr:colOff>
      <xdr:row>60</xdr:row>
      <xdr:rowOff>177800</xdr:rowOff>
    </xdr:from>
    <xdr:to>
      <xdr:col>8</xdr:col>
      <xdr:colOff>342900</xdr:colOff>
      <xdr:row>80</xdr:row>
      <xdr:rowOff>177800</xdr:rowOff>
    </xdr:to>
    <xdr:graphicFrame macro="">
      <xdr:nvGraphicFramePr>
        <xdr:cNvPr id="5" name="Chart 4">
          <a:extLst>
            <a:ext uri="{FF2B5EF4-FFF2-40B4-BE49-F238E27FC236}">
              <a16:creationId xmlns:a16="http://schemas.microsoft.com/office/drawing/2014/main" id="{CA529046-0E53-7FA1-A521-7717DD2924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266700</xdr:colOff>
      <xdr:row>82</xdr:row>
      <xdr:rowOff>25400</xdr:rowOff>
    </xdr:from>
    <xdr:to>
      <xdr:col>8</xdr:col>
      <xdr:colOff>342900</xdr:colOff>
      <xdr:row>102</xdr:row>
      <xdr:rowOff>25400</xdr:rowOff>
    </xdr:to>
    <xdr:graphicFrame macro="">
      <xdr:nvGraphicFramePr>
        <xdr:cNvPr id="6" name="Chart 5">
          <a:extLst>
            <a:ext uri="{FF2B5EF4-FFF2-40B4-BE49-F238E27FC236}">
              <a16:creationId xmlns:a16="http://schemas.microsoft.com/office/drawing/2014/main" id="{E03838FA-A009-AAB8-0C21-C9AB27A367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13</xdr:col>
      <xdr:colOff>812800</xdr:colOff>
      <xdr:row>0</xdr:row>
      <xdr:rowOff>165100</xdr:rowOff>
    </xdr:from>
    <xdr:to>
      <xdr:col>15</xdr:col>
      <xdr:colOff>508000</xdr:colOff>
      <xdr:row>14</xdr:row>
      <xdr:rowOff>104769</xdr:rowOff>
    </xdr:to>
    <mc:AlternateContent xmlns:mc="http://schemas.openxmlformats.org/markup-compatibility/2006">
      <mc:Choice xmlns:a14="http://schemas.microsoft.com/office/drawing/2010/main" Requires="a14">
        <xdr:graphicFrame macro="">
          <xdr:nvGraphicFramePr>
            <xdr:cNvPr id="8" name="Retailer 1">
              <a:extLst>
                <a:ext uri="{FF2B5EF4-FFF2-40B4-BE49-F238E27FC236}">
                  <a16:creationId xmlns:a16="http://schemas.microsoft.com/office/drawing/2014/main" id="{8EECA8B9-D971-DB24-100F-13B0BC867D93}"/>
                </a:ext>
              </a:extLst>
            </xdr:cNvPr>
            <xdr:cNvGraphicFramePr/>
          </xdr:nvGraphicFramePr>
          <xdr:xfrm>
            <a:off x="0" y="0"/>
            <a:ext cx="0" cy="0"/>
          </xdr:xfrm>
          <a:graphic>
            <a:graphicData uri="http://schemas.microsoft.com/office/drawing/2010/slicer">
              <sle:slicer xmlns:sle="http://schemas.microsoft.com/office/drawing/2010/slicer" name="Retailer 1"/>
            </a:graphicData>
          </a:graphic>
        </xdr:graphicFrame>
      </mc:Choice>
      <mc:Fallback>
        <xdr:sp macro="" textlink="">
          <xdr:nvSpPr>
            <xdr:cNvPr id="0" name=""/>
            <xdr:cNvSpPr>
              <a:spLocks noTextEdit="1"/>
            </xdr:cNvSpPr>
          </xdr:nvSpPr>
          <xdr:spPr>
            <a:xfrm>
              <a:off x="14871700" y="1651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abela Santos" refreshedDate="45739.838385185183" createdVersion="3" refreshedVersion="8" minRefreshableVersion="3" recordCount="288" xr:uid="{449FE9B0-7B2A-6444-BAAF-6E5A0E5EDBDB}">
  <cacheSource type="worksheet">
    <worksheetSource ref="A1:M289" sheet="Data"/>
  </cacheSource>
  <cacheFields count="13">
    <cacheField name="Retailer" numFmtId="0">
      <sharedItems count="4">
        <s v="Costco"/>
        <s v="Target"/>
        <s v="Walgreens"/>
        <s v="Walmart"/>
      </sharedItems>
    </cacheField>
    <cacheField name="Contact" numFmtId="0">
      <sharedItems/>
    </cacheField>
    <cacheField name="Retailer ID" numFmtId="0">
      <sharedItems containsSemiMixedTypes="0" containsString="0" containsNumber="1" containsInteger="1" minValue="1128299" maxValue="1197831"/>
    </cacheField>
    <cacheField name="Order Date" numFmtId="14">
      <sharedItems containsSemiMixedTypes="0" containsNonDate="0" containsDate="1" containsString="0" minDate="2022-01-02T00:00:00" maxDate="2022-12-20T00:00:00"/>
    </cacheField>
    <cacheField name="Payment Date" numFmtId="14">
      <sharedItems containsSemiMixedTypes="0" containsNonDate="0" containsDate="1" containsString="0" minDate="2022-02-01T00:00:00" maxDate="2023-01-19T00:00:00"/>
    </cacheField>
    <cacheField name="Region" numFmtId="0">
      <sharedItems/>
    </cacheField>
    <cacheField name="State" numFmtId="0">
      <sharedItems/>
    </cacheField>
    <cacheField name="Beverage Brand" numFmtId="0">
      <sharedItems count="6">
        <s v="Coca-Cola"/>
        <s v="Diet Coke"/>
        <s v="Sprite"/>
        <s v="Fanta"/>
        <s v="Powerade"/>
        <s v="Dasani Water"/>
      </sharedItems>
    </cacheField>
    <cacheField name="Price per Unit" numFmtId="0">
      <sharedItems containsSemiMixedTypes="0" containsString="0" containsNumber="1" minValue="0.25" maxValue="0.8"/>
    </cacheField>
    <cacheField name="Units Sold" numFmtId="0">
      <sharedItems containsSemiMixedTypes="0" containsString="0" containsNumber="1" containsInteger="1" minValue="4250" maxValue="12750"/>
    </cacheField>
    <cacheField name="Days to Payment" numFmtId="0">
      <sharedItems containsSemiMixedTypes="0" containsString="0" containsNumber="1" containsInteger="1" minValue="30" maxValue="65"/>
    </cacheField>
    <cacheField name="Revenue" numFmtId="0">
      <sharedItems containsSemiMixedTypes="0" containsString="0" containsNumber="1" minValue="2000" maxValue="7800"/>
    </cacheField>
    <cacheField name="Month Name" numFmtId="0">
      <sharedItems/>
    </cacheField>
  </cacheFields>
  <extLst>
    <ext xmlns:x14="http://schemas.microsoft.com/office/spreadsheetml/2009/9/main" uri="{725AE2AE-9491-48be-B2B4-4EB974FC3084}">
      <x14:pivotCacheDefinition pivotCacheId="6032348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abela Santos" refreshedDate="45739.838671296297" createdVersion="3" refreshedVersion="8" minRefreshableVersion="3" recordCount="288" xr:uid="{C8A3629C-EA88-F148-9EC4-859120557414}">
  <cacheSource type="worksheet">
    <worksheetSource ref="A1:M289" sheet="Data"/>
  </cacheSource>
  <cacheFields count="13">
    <cacheField name="Retailer" numFmtId="0">
      <sharedItems count="4">
        <s v="Costco"/>
        <s v="Target"/>
        <s v="Walgreens"/>
        <s v="Walmart"/>
      </sharedItems>
    </cacheField>
    <cacheField name="Contact" numFmtId="0">
      <sharedItems/>
    </cacheField>
    <cacheField name="Retailer ID" numFmtId="0">
      <sharedItems containsSemiMixedTypes="0" containsString="0" containsNumber="1" containsInteger="1" minValue="1128299" maxValue="1197831"/>
    </cacheField>
    <cacheField name="Order Date" numFmtId="14">
      <sharedItems containsSemiMixedTypes="0" containsNonDate="0" containsDate="1" containsString="0" minDate="2022-01-02T00:00:00" maxDate="2022-12-20T00:00:00"/>
    </cacheField>
    <cacheField name="Payment Date" numFmtId="14">
      <sharedItems containsSemiMixedTypes="0" containsNonDate="0" containsDate="1" containsString="0" minDate="2022-02-01T00:00:00" maxDate="2023-01-19T00:00:00"/>
    </cacheField>
    <cacheField name="Region" numFmtId="0">
      <sharedItems/>
    </cacheField>
    <cacheField name="State" numFmtId="0">
      <sharedItems count="3">
        <s v="California"/>
        <s v="Texas"/>
        <s v="New York"/>
      </sharedItems>
    </cacheField>
    <cacheField name="Beverage Brand" numFmtId="0">
      <sharedItems count="6">
        <s v="Coca-Cola"/>
        <s v="Diet Coke"/>
        <s v="Sprite"/>
        <s v="Fanta"/>
        <s v="Powerade"/>
        <s v="Dasani Water"/>
      </sharedItems>
    </cacheField>
    <cacheField name="Price per Unit" numFmtId="0">
      <sharedItems containsSemiMixedTypes="0" containsString="0" containsNumber="1" minValue="0.25" maxValue="0.8"/>
    </cacheField>
    <cacheField name="Units Sold" numFmtId="0">
      <sharedItems containsSemiMixedTypes="0" containsString="0" containsNumber="1" containsInteger="1" minValue="4250" maxValue="12750"/>
    </cacheField>
    <cacheField name="Days to Payment" numFmtId="0">
      <sharedItems containsSemiMixedTypes="0" containsString="0" containsNumber="1" containsInteger="1" minValue="30" maxValue="65"/>
    </cacheField>
    <cacheField name="Revenue" numFmtId="0">
      <sharedItems containsSemiMixedTypes="0" containsString="0" containsNumber="1" minValue="2000" maxValue="7800"/>
    </cacheField>
    <cacheField name="Month Name" numFmtId="0">
      <sharedItems count="12">
        <s v="February"/>
        <s v="March"/>
        <s v="April"/>
        <s v="May"/>
        <s v="June"/>
        <s v="July"/>
        <s v="August"/>
        <s v="September"/>
        <s v="October"/>
        <s v="November"/>
        <s v="December"/>
        <s v="January"/>
      </sharedItems>
    </cacheField>
  </cacheFields>
  <extLst>
    <ext xmlns:x14="http://schemas.microsoft.com/office/spreadsheetml/2009/9/main" uri="{725AE2AE-9491-48be-B2B4-4EB974FC3084}">
      <x14:pivotCacheDefinition pivotCacheId="406702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8">
  <r>
    <x v="0"/>
    <s v="Ana"/>
    <n v="1128299"/>
    <d v="2022-01-20T00:00:00"/>
    <d v="2022-02-19T00:00:00"/>
    <s v="West"/>
    <s v="California"/>
    <x v="0"/>
    <n v="0.39999999999999997"/>
    <n v="7750"/>
    <n v="30"/>
    <n v="3099.9999999999995"/>
    <s v="February"/>
  </r>
  <r>
    <x v="0"/>
    <s v="Ana"/>
    <n v="1128299"/>
    <d v="2022-01-20T00:00:00"/>
    <d v="2022-03-26T00:00:00"/>
    <s v="West"/>
    <s v="California"/>
    <x v="1"/>
    <n v="0.5"/>
    <n v="7750"/>
    <n v="65"/>
    <n v="3875"/>
    <s v="March"/>
  </r>
  <r>
    <x v="0"/>
    <s v="Ana"/>
    <n v="1128299"/>
    <d v="2022-01-20T00:00:00"/>
    <d v="2022-03-26T00:00:00"/>
    <s v="West"/>
    <s v="California"/>
    <x v="2"/>
    <n v="0.5"/>
    <n v="7750"/>
    <n v="65"/>
    <n v="3875"/>
    <s v="March"/>
  </r>
  <r>
    <x v="0"/>
    <s v="Ana"/>
    <n v="1128299"/>
    <d v="2022-01-20T00:00:00"/>
    <d v="2022-02-26T00:00:00"/>
    <s v="West"/>
    <s v="California"/>
    <x v="3"/>
    <n v="0.5"/>
    <n v="6250"/>
    <n v="37"/>
    <n v="3125"/>
    <s v="February"/>
  </r>
  <r>
    <x v="0"/>
    <s v="Ana"/>
    <n v="1128299"/>
    <d v="2022-01-20T00:00:00"/>
    <d v="2022-02-19T00:00:00"/>
    <s v="West"/>
    <s v="California"/>
    <x v="4"/>
    <n v="0.55000000000000004"/>
    <n v="5750"/>
    <n v="30"/>
    <n v="3162.5000000000005"/>
    <s v="February"/>
  </r>
  <r>
    <x v="0"/>
    <s v="Ana"/>
    <n v="1128299"/>
    <d v="2022-01-20T00:00:00"/>
    <d v="2022-02-19T00:00:00"/>
    <s v="West"/>
    <s v="California"/>
    <x v="5"/>
    <n v="0.5"/>
    <n v="7750"/>
    <n v="30"/>
    <n v="3875"/>
    <s v="February"/>
  </r>
  <r>
    <x v="0"/>
    <s v="Ana"/>
    <n v="1128299"/>
    <d v="2022-02-20T00:00:00"/>
    <d v="2022-03-22T00:00:00"/>
    <s v="West"/>
    <s v="California"/>
    <x v="0"/>
    <n v="0.39999999999999997"/>
    <n v="8250"/>
    <n v="30"/>
    <n v="3299.9999999999995"/>
    <s v="March"/>
  </r>
  <r>
    <x v="0"/>
    <s v="Ana"/>
    <n v="1128299"/>
    <d v="2022-02-20T00:00:00"/>
    <d v="2022-03-22T00:00:00"/>
    <s v="West"/>
    <s v="California"/>
    <x v="1"/>
    <n v="0.5"/>
    <n v="7250"/>
    <n v="30"/>
    <n v="3625"/>
    <s v="March"/>
  </r>
  <r>
    <x v="0"/>
    <s v="Ana"/>
    <n v="1128299"/>
    <d v="2022-02-20T00:00:00"/>
    <d v="2022-03-22T00:00:00"/>
    <s v="West"/>
    <s v="California"/>
    <x v="2"/>
    <n v="0.5"/>
    <n v="7250"/>
    <n v="30"/>
    <n v="3625"/>
    <s v="March"/>
  </r>
  <r>
    <x v="0"/>
    <s v="Ana"/>
    <n v="1128299"/>
    <d v="2022-02-20T00:00:00"/>
    <d v="2022-03-22T00:00:00"/>
    <s v="West"/>
    <s v="California"/>
    <x v="3"/>
    <n v="0.5"/>
    <n v="5750"/>
    <n v="30"/>
    <n v="2875"/>
    <s v="March"/>
  </r>
  <r>
    <x v="0"/>
    <s v="Ana"/>
    <n v="1128299"/>
    <d v="2022-02-20T00:00:00"/>
    <d v="2022-03-25T00:00:00"/>
    <s v="West"/>
    <s v="California"/>
    <x v="4"/>
    <n v="0.55000000000000004"/>
    <n v="5000"/>
    <n v="33"/>
    <n v="2750"/>
    <s v="March"/>
  </r>
  <r>
    <x v="0"/>
    <s v="Ana"/>
    <n v="1128299"/>
    <d v="2022-02-20T00:00:00"/>
    <d v="2022-03-22T00:00:00"/>
    <s v="West"/>
    <s v="California"/>
    <x v="5"/>
    <n v="0.5"/>
    <n v="7000"/>
    <n v="30"/>
    <n v="3500"/>
    <s v="March"/>
  </r>
  <r>
    <x v="0"/>
    <s v="Ana"/>
    <n v="1128299"/>
    <d v="2022-03-19T00:00:00"/>
    <d v="2022-04-18T00:00:00"/>
    <s v="West"/>
    <s v="California"/>
    <x v="0"/>
    <n v="0.5"/>
    <n v="8500"/>
    <n v="30"/>
    <n v="4250"/>
    <s v="April"/>
  </r>
  <r>
    <x v="0"/>
    <s v="Ana"/>
    <n v="1128299"/>
    <d v="2022-03-19T00:00:00"/>
    <d v="2022-04-18T00:00:00"/>
    <s v="West"/>
    <s v="California"/>
    <x v="1"/>
    <n v="0.6"/>
    <n v="7000"/>
    <n v="30"/>
    <n v="4200"/>
    <s v="April"/>
  </r>
  <r>
    <x v="0"/>
    <s v="Ana"/>
    <n v="1128299"/>
    <d v="2022-03-19T00:00:00"/>
    <d v="2022-04-18T00:00:00"/>
    <s v="West"/>
    <s v="California"/>
    <x v="2"/>
    <n v="0.6"/>
    <n v="7000"/>
    <n v="30"/>
    <n v="4200"/>
    <s v="April"/>
  </r>
  <r>
    <x v="0"/>
    <s v="Ana"/>
    <n v="1128299"/>
    <d v="2022-03-19T00:00:00"/>
    <d v="2022-04-18T00:00:00"/>
    <s v="West"/>
    <s v="California"/>
    <x v="3"/>
    <n v="0.6"/>
    <n v="6000"/>
    <n v="30"/>
    <n v="3600"/>
    <s v="April"/>
  </r>
  <r>
    <x v="0"/>
    <s v="Ana"/>
    <n v="1128299"/>
    <d v="2022-03-19T00:00:00"/>
    <d v="2022-04-18T00:00:00"/>
    <s v="West"/>
    <s v="California"/>
    <x v="4"/>
    <n v="0.65"/>
    <n v="5000"/>
    <n v="30"/>
    <n v="3250"/>
    <s v="April"/>
  </r>
  <r>
    <x v="0"/>
    <s v="Ana"/>
    <n v="1128299"/>
    <d v="2022-03-19T00:00:00"/>
    <d v="2022-04-18T00:00:00"/>
    <s v="West"/>
    <s v="California"/>
    <x v="5"/>
    <n v="0.6"/>
    <n v="7000"/>
    <n v="30"/>
    <n v="4200"/>
    <s v="April"/>
  </r>
  <r>
    <x v="0"/>
    <s v="Ana"/>
    <n v="1128299"/>
    <d v="2022-04-20T00:00:00"/>
    <d v="2022-05-20T00:00:00"/>
    <s v="West"/>
    <s v="California"/>
    <x v="0"/>
    <n v="0.6"/>
    <n v="8750"/>
    <n v="30"/>
    <n v="5250"/>
    <s v="May"/>
  </r>
  <r>
    <x v="0"/>
    <s v="Ana"/>
    <n v="1128299"/>
    <d v="2022-04-20T00:00:00"/>
    <d v="2022-05-20T00:00:00"/>
    <s v="West"/>
    <s v="California"/>
    <x v="1"/>
    <n v="0.65"/>
    <n v="6750"/>
    <n v="30"/>
    <n v="4387.5"/>
    <s v="May"/>
  </r>
  <r>
    <x v="0"/>
    <s v="Ana"/>
    <n v="1128299"/>
    <d v="2022-04-20T00:00:00"/>
    <d v="2022-05-20T00:00:00"/>
    <s v="West"/>
    <s v="California"/>
    <x v="2"/>
    <n v="0.65"/>
    <n v="7250"/>
    <n v="30"/>
    <n v="4712.5"/>
    <s v="May"/>
  </r>
  <r>
    <x v="0"/>
    <s v="Ana"/>
    <n v="1128299"/>
    <d v="2022-04-20T00:00:00"/>
    <d v="2022-05-20T00:00:00"/>
    <s v="West"/>
    <s v="California"/>
    <x v="3"/>
    <n v="0.6"/>
    <n v="6250"/>
    <n v="30"/>
    <n v="3750"/>
    <s v="May"/>
  </r>
  <r>
    <x v="0"/>
    <s v="Ana"/>
    <n v="1128299"/>
    <d v="2022-04-20T00:00:00"/>
    <d v="2022-05-20T00:00:00"/>
    <s v="West"/>
    <s v="California"/>
    <x v="4"/>
    <n v="0.65"/>
    <n v="5250"/>
    <n v="30"/>
    <n v="3412.5"/>
    <s v="May"/>
  </r>
  <r>
    <x v="0"/>
    <s v="Ana"/>
    <n v="1128299"/>
    <d v="2022-04-20T00:00:00"/>
    <d v="2022-05-20T00:00:00"/>
    <s v="West"/>
    <s v="California"/>
    <x v="5"/>
    <n v="0.8"/>
    <n v="7000"/>
    <n v="30"/>
    <n v="5600"/>
    <s v="May"/>
  </r>
  <r>
    <x v="0"/>
    <s v="Ana"/>
    <n v="1128299"/>
    <d v="2022-05-21T00:00:00"/>
    <d v="2022-06-20T00:00:00"/>
    <s v="West"/>
    <s v="California"/>
    <x v="0"/>
    <n v="0.6"/>
    <n v="9000"/>
    <n v="30"/>
    <n v="5400"/>
    <s v="June"/>
  </r>
  <r>
    <x v="0"/>
    <s v="Ana"/>
    <n v="1128299"/>
    <d v="2022-05-21T00:00:00"/>
    <d v="2022-06-20T00:00:00"/>
    <s v="West"/>
    <s v="California"/>
    <x v="1"/>
    <n v="0.65"/>
    <n v="7500"/>
    <n v="30"/>
    <n v="4875"/>
    <s v="June"/>
  </r>
  <r>
    <x v="0"/>
    <s v="Ana"/>
    <n v="1128299"/>
    <d v="2022-05-21T00:00:00"/>
    <d v="2022-06-20T00:00:00"/>
    <s v="West"/>
    <s v="California"/>
    <x v="2"/>
    <n v="0.65"/>
    <n v="7500"/>
    <n v="30"/>
    <n v="4875"/>
    <s v="June"/>
  </r>
  <r>
    <x v="0"/>
    <s v="Ana"/>
    <n v="1128299"/>
    <d v="2022-05-21T00:00:00"/>
    <d v="2022-06-20T00:00:00"/>
    <s v="West"/>
    <s v="California"/>
    <x v="3"/>
    <n v="0.6"/>
    <n v="6500"/>
    <n v="30"/>
    <n v="3900"/>
    <s v="June"/>
  </r>
  <r>
    <x v="0"/>
    <s v="Ana"/>
    <n v="1128299"/>
    <d v="2022-05-21T00:00:00"/>
    <d v="2022-06-20T00:00:00"/>
    <s v="West"/>
    <s v="California"/>
    <x v="4"/>
    <n v="0.65"/>
    <n v="5500"/>
    <n v="30"/>
    <n v="3575"/>
    <s v="June"/>
  </r>
  <r>
    <x v="0"/>
    <s v="Ana"/>
    <n v="1128299"/>
    <d v="2022-05-21T00:00:00"/>
    <d v="2022-06-20T00:00:00"/>
    <s v="West"/>
    <s v="California"/>
    <x v="5"/>
    <n v="0.8"/>
    <n v="7250"/>
    <n v="30"/>
    <n v="5800"/>
    <s v="June"/>
  </r>
  <r>
    <x v="0"/>
    <s v="Ana"/>
    <n v="1128299"/>
    <d v="2022-06-20T00:00:00"/>
    <d v="2022-07-20T00:00:00"/>
    <s v="West"/>
    <s v="California"/>
    <x v="0"/>
    <n v="0.6"/>
    <n v="9750"/>
    <n v="30"/>
    <n v="5850"/>
    <s v="July"/>
  </r>
  <r>
    <x v="0"/>
    <s v="Ana"/>
    <n v="1128299"/>
    <d v="2022-06-20T00:00:00"/>
    <d v="2022-07-20T00:00:00"/>
    <s v="West"/>
    <s v="California"/>
    <x v="1"/>
    <n v="0.65"/>
    <n v="8250"/>
    <n v="30"/>
    <n v="5362.5"/>
    <s v="July"/>
  </r>
  <r>
    <x v="0"/>
    <s v="Ana"/>
    <n v="1128299"/>
    <d v="2022-06-20T00:00:00"/>
    <d v="2022-07-20T00:00:00"/>
    <s v="West"/>
    <s v="California"/>
    <x v="2"/>
    <n v="0.65"/>
    <n v="8250"/>
    <n v="30"/>
    <n v="5362.5"/>
    <s v="July"/>
  </r>
  <r>
    <x v="0"/>
    <s v="Ana"/>
    <n v="1128299"/>
    <d v="2022-06-20T00:00:00"/>
    <d v="2022-07-20T00:00:00"/>
    <s v="West"/>
    <s v="California"/>
    <x v="3"/>
    <n v="0.6"/>
    <n v="7000"/>
    <n v="30"/>
    <n v="4200"/>
    <s v="July"/>
  </r>
  <r>
    <x v="0"/>
    <s v="Ana"/>
    <n v="1128299"/>
    <d v="2022-06-20T00:00:00"/>
    <d v="2022-07-20T00:00:00"/>
    <s v="West"/>
    <s v="California"/>
    <x v="4"/>
    <n v="0.65"/>
    <n v="5750"/>
    <n v="30"/>
    <n v="3737.5"/>
    <s v="July"/>
  </r>
  <r>
    <x v="0"/>
    <s v="Ana"/>
    <n v="1128299"/>
    <d v="2022-06-20T00:00:00"/>
    <d v="2022-07-20T00:00:00"/>
    <s v="West"/>
    <s v="California"/>
    <x v="5"/>
    <n v="0.8"/>
    <n v="8750"/>
    <n v="30"/>
    <n v="7000"/>
    <s v="July"/>
  </r>
  <r>
    <x v="0"/>
    <s v="Ana"/>
    <n v="1128299"/>
    <d v="2022-07-19T00:00:00"/>
    <d v="2022-08-18T00:00:00"/>
    <s v="West"/>
    <s v="California"/>
    <x v="0"/>
    <n v="0.6"/>
    <n v="10250"/>
    <n v="30"/>
    <n v="6150"/>
    <s v="August"/>
  </r>
  <r>
    <x v="0"/>
    <s v="Ana"/>
    <n v="1128299"/>
    <d v="2022-07-19T00:00:00"/>
    <d v="2022-08-18T00:00:00"/>
    <s v="West"/>
    <s v="California"/>
    <x v="1"/>
    <n v="0.65"/>
    <n v="8750"/>
    <n v="30"/>
    <n v="5687.5"/>
    <s v="August"/>
  </r>
  <r>
    <x v="0"/>
    <s v="Ana"/>
    <n v="1128299"/>
    <d v="2022-07-19T00:00:00"/>
    <d v="2022-08-18T00:00:00"/>
    <s v="West"/>
    <s v="California"/>
    <x v="2"/>
    <n v="0.65"/>
    <n v="8250"/>
    <n v="30"/>
    <n v="5362.5"/>
    <s v="August"/>
  </r>
  <r>
    <x v="0"/>
    <s v="Ana"/>
    <n v="1128299"/>
    <d v="2022-07-19T00:00:00"/>
    <d v="2022-08-18T00:00:00"/>
    <s v="West"/>
    <s v="California"/>
    <x v="3"/>
    <n v="0.6"/>
    <n v="7250"/>
    <n v="30"/>
    <n v="4350"/>
    <s v="August"/>
  </r>
  <r>
    <x v="0"/>
    <s v="Ana"/>
    <n v="1128299"/>
    <d v="2022-07-19T00:00:00"/>
    <d v="2022-08-18T00:00:00"/>
    <s v="West"/>
    <s v="California"/>
    <x v="4"/>
    <n v="0.65"/>
    <n v="7750"/>
    <n v="30"/>
    <n v="5037.5"/>
    <s v="August"/>
  </r>
  <r>
    <x v="0"/>
    <s v="Ana"/>
    <n v="1128299"/>
    <d v="2022-07-19T00:00:00"/>
    <d v="2022-08-18T00:00:00"/>
    <s v="West"/>
    <s v="California"/>
    <x v="5"/>
    <n v="0.8"/>
    <n v="7750"/>
    <n v="30"/>
    <n v="6200"/>
    <s v="August"/>
  </r>
  <r>
    <x v="0"/>
    <s v="Ana"/>
    <n v="1128299"/>
    <d v="2022-08-20T00:00:00"/>
    <d v="2022-09-19T00:00:00"/>
    <s v="West"/>
    <s v="California"/>
    <x v="0"/>
    <n v="0.65"/>
    <n v="9750"/>
    <n v="30"/>
    <n v="6337.5"/>
    <s v="September"/>
  </r>
  <r>
    <x v="0"/>
    <s v="Ana"/>
    <n v="1128299"/>
    <d v="2022-08-20T00:00:00"/>
    <d v="2022-09-19T00:00:00"/>
    <s v="West"/>
    <s v="California"/>
    <x v="1"/>
    <n v="0.70000000000000007"/>
    <n v="9250"/>
    <n v="30"/>
    <n v="6475.0000000000009"/>
    <s v="September"/>
  </r>
  <r>
    <x v="0"/>
    <s v="Ana"/>
    <n v="1128299"/>
    <d v="2022-08-20T00:00:00"/>
    <d v="2022-09-19T00:00:00"/>
    <s v="West"/>
    <s v="California"/>
    <x v="2"/>
    <n v="0.65"/>
    <n v="8000"/>
    <n v="30"/>
    <n v="5200"/>
    <s v="September"/>
  </r>
  <r>
    <x v="0"/>
    <s v="Ana"/>
    <n v="1128299"/>
    <d v="2022-08-20T00:00:00"/>
    <d v="2022-09-19T00:00:00"/>
    <s v="West"/>
    <s v="California"/>
    <x v="3"/>
    <n v="0.65"/>
    <n v="7500"/>
    <n v="30"/>
    <n v="4875"/>
    <s v="September"/>
  </r>
  <r>
    <x v="0"/>
    <s v="Ana"/>
    <n v="1128299"/>
    <d v="2022-08-20T00:00:00"/>
    <d v="2022-09-19T00:00:00"/>
    <s v="West"/>
    <s v="California"/>
    <x v="4"/>
    <n v="0.75"/>
    <n v="7500"/>
    <n v="30"/>
    <n v="5625"/>
    <s v="September"/>
  </r>
  <r>
    <x v="0"/>
    <s v="Ana"/>
    <n v="1128299"/>
    <d v="2022-08-20T00:00:00"/>
    <d v="2022-09-19T00:00:00"/>
    <s v="West"/>
    <s v="California"/>
    <x v="5"/>
    <n v="0.8"/>
    <n v="7250"/>
    <n v="30"/>
    <n v="5800"/>
    <s v="September"/>
  </r>
  <r>
    <x v="0"/>
    <s v="Ana"/>
    <n v="1128299"/>
    <d v="2022-09-21T00:00:00"/>
    <d v="2022-10-21T00:00:00"/>
    <s v="West"/>
    <s v="California"/>
    <x v="0"/>
    <n v="0.55000000000000004"/>
    <n v="9250"/>
    <n v="30"/>
    <n v="5087.5"/>
    <s v="October"/>
  </r>
  <r>
    <x v="0"/>
    <s v="Ana"/>
    <n v="1128299"/>
    <d v="2022-09-21T00:00:00"/>
    <d v="2022-10-21T00:00:00"/>
    <s v="West"/>
    <s v="California"/>
    <x v="1"/>
    <n v="0.60000000000000009"/>
    <n v="9250"/>
    <n v="30"/>
    <n v="5550.0000000000009"/>
    <s v="October"/>
  </r>
  <r>
    <x v="0"/>
    <s v="Ana"/>
    <n v="1128299"/>
    <d v="2022-09-21T00:00:00"/>
    <d v="2022-10-21T00:00:00"/>
    <s v="West"/>
    <s v="California"/>
    <x v="2"/>
    <n v="0.55000000000000004"/>
    <n v="7750"/>
    <n v="30"/>
    <n v="4262.5"/>
    <s v="October"/>
  </r>
  <r>
    <x v="0"/>
    <s v="Ana"/>
    <n v="1128299"/>
    <d v="2022-09-21T00:00:00"/>
    <d v="2022-10-21T00:00:00"/>
    <s v="West"/>
    <s v="California"/>
    <x v="3"/>
    <n v="0.55000000000000004"/>
    <n v="7250"/>
    <n v="30"/>
    <n v="3987.5000000000005"/>
    <s v="October"/>
  </r>
  <r>
    <x v="0"/>
    <s v="Ana"/>
    <n v="1128299"/>
    <d v="2022-09-21T00:00:00"/>
    <d v="2022-10-21T00:00:00"/>
    <s v="West"/>
    <s v="California"/>
    <x v="4"/>
    <n v="0.65"/>
    <n v="7250"/>
    <n v="30"/>
    <n v="4712.5"/>
    <s v="October"/>
  </r>
  <r>
    <x v="0"/>
    <s v="Ana"/>
    <n v="1128299"/>
    <d v="2022-09-21T00:00:00"/>
    <d v="2022-10-21T00:00:00"/>
    <s v="West"/>
    <s v="California"/>
    <x v="5"/>
    <n v="0.70000000000000007"/>
    <n v="7750"/>
    <n v="30"/>
    <n v="5425.0000000000009"/>
    <s v="October"/>
  </r>
  <r>
    <x v="0"/>
    <s v="Ana"/>
    <n v="1128299"/>
    <d v="2022-10-20T00:00:00"/>
    <d v="2022-11-19T00:00:00"/>
    <s v="West"/>
    <s v="California"/>
    <x v="0"/>
    <n v="0.55000000000000004"/>
    <n v="8750"/>
    <n v="30"/>
    <n v="4812.5"/>
    <s v="November"/>
  </r>
  <r>
    <x v="0"/>
    <s v="Ana"/>
    <n v="1128299"/>
    <d v="2022-10-20T00:00:00"/>
    <d v="2022-11-19T00:00:00"/>
    <s v="West"/>
    <s v="California"/>
    <x v="1"/>
    <n v="0.60000000000000009"/>
    <n v="8750"/>
    <n v="30"/>
    <n v="5250.0000000000009"/>
    <s v="November"/>
  </r>
  <r>
    <x v="0"/>
    <s v="Ana"/>
    <n v="1128299"/>
    <d v="2022-10-20T00:00:00"/>
    <d v="2022-11-19T00:00:00"/>
    <s v="West"/>
    <s v="California"/>
    <x v="2"/>
    <n v="0.55000000000000004"/>
    <n v="7000"/>
    <n v="30"/>
    <n v="3850.0000000000005"/>
    <s v="November"/>
  </r>
  <r>
    <x v="0"/>
    <s v="Ana"/>
    <n v="1128299"/>
    <d v="2022-10-20T00:00:00"/>
    <d v="2022-11-19T00:00:00"/>
    <s v="West"/>
    <s v="California"/>
    <x v="3"/>
    <n v="0.55000000000000004"/>
    <n v="6750"/>
    <n v="30"/>
    <n v="3712.5000000000005"/>
    <s v="November"/>
  </r>
  <r>
    <x v="0"/>
    <s v="Ana"/>
    <n v="1128299"/>
    <d v="2022-10-20T00:00:00"/>
    <d v="2022-11-19T00:00:00"/>
    <s v="West"/>
    <s v="California"/>
    <x v="4"/>
    <n v="0.65"/>
    <n v="6500"/>
    <n v="30"/>
    <n v="4225"/>
    <s v="November"/>
  </r>
  <r>
    <x v="0"/>
    <s v="Ana"/>
    <n v="1128299"/>
    <d v="2022-10-20T00:00:00"/>
    <d v="2022-11-19T00:00:00"/>
    <s v="West"/>
    <s v="California"/>
    <x v="5"/>
    <n v="0.70000000000000007"/>
    <n v="7000"/>
    <n v="30"/>
    <n v="4900.0000000000009"/>
    <s v="November"/>
  </r>
  <r>
    <x v="0"/>
    <s v="Ana"/>
    <n v="1128299"/>
    <d v="2022-11-20T00:00:00"/>
    <d v="2022-12-20T00:00:00"/>
    <s v="West"/>
    <s v="California"/>
    <x v="0"/>
    <n v="0.55000000000000004"/>
    <n v="8750"/>
    <n v="30"/>
    <n v="4812.5"/>
    <s v="December"/>
  </r>
  <r>
    <x v="0"/>
    <s v="Ana"/>
    <n v="1128299"/>
    <d v="2022-11-20T00:00:00"/>
    <d v="2022-12-20T00:00:00"/>
    <s v="West"/>
    <s v="California"/>
    <x v="1"/>
    <n v="0.60000000000000009"/>
    <n v="8750"/>
    <n v="30"/>
    <n v="5250.0000000000009"/>
    <s v="December"/>
  </r>
  <r>
    <x v="0"/>
    <s v="Ana"/>
    <n v="1128299"/>
    <d v="2022-11-20T00:00:00"/>
    <d v="2022-12-20T00:00:00"/>
    <s v="West"/>
    <s v="California"/>
    <x v="2"/>
    <n v="0.55000000000000004"/>
    <n v="7250"/>
    <n v="30"/>
    <n v="3987.5000000000005"/>
    <s v="December"/>
  </r>
  <r>
    <x v="0"/>
    <s v="Ana"/>
    <n v="1128299"/>
    <d v="2022-11-20T00:00:00"/>
    <d v="2022-12-20T00:00:00"/>
    <s v="West"/>
    <s v="California"/>
    <x v="3"/>
    <n v="0.55000000000000004"/>
    <n v="7000"/>
    <n v="30"/>
    <n v="3850.0000000000005"/>
    <s v="December"/>
  </r>
  <r>
    <x v="0"/>
    <s v="Ana"/>
    <n v="1128299"/>
    <d v="2022-11-20T00:00:00"/>
    <d v="2022-12-20T00:00:00"/>
    <s v="West"/>
    <s v="California"/>
    <x v="4"/>
    <n v="0.65"/>
    <n v="6500"/>
    <n v="30"/>
    <n v="4225"/>
    <s v="December"/>
  </r>
  <r>
    <x v="0"/>
    <s v="Ana"/>
    <n v="1128299"/>
    <d v="2022-11-20T00:00:00"/>
    <d v="2022-12-20T00:00:00"/>
    <s v="West"/>
    <s v="California"/>
    <x v="5"/>
    <n v="0.70000000000000007"/>
    <n v="7750"/>
    <n v="30"/>
    <n v="5425.0000000000009"/>
    <s v="December"/>
  </r>
  <r>
    <x v="0"/>
    <s v="Ana"/>
    <n v="1128299"/>
    <d v="2022-12-19T00:00:00"/>
    <d v="2023-01-18T00:00:00"/>
    <s v="West"/>
    <s v="California"/>
    <x v="0"/>
    <n v="0.55000000000000004"/>
    <n v="9750"/>
    <n v="30"/>
    <n v="5362.5"/>
    <s v="January"/>
  </r>
  <r>
    <x v="0"/>
    <s v="Ana"/>
    <n v="1128299"/>
    <d v="2022-12-19T00:00:00"/>
    <d v="2023-01-18T00:00:00"/>
    <s v="West"/>
    <s v="California"/>
    <x v="1"/>
    <n v="0.60000000000000009"/>
    <n v="9750"/>
    <n v="30"/>
    <n v="5850.0000000000009"/>
    <s v="January"/>
  </r>
  <r>
    <x v="0"/>
    <s v="Ana"/>
    <n v="1128299"/>
    <d v="2022-12-19T00:00:00"/>
    <d v="2023-01-18T00:00:00"/>
    <s v="West"/>
    <s v="California"/>
    <x v="2"/>
    <n v="0.55000000000000004"/>
    <n v="7750"/>
    <n v="30"/>
    <n v="4262.5"/>
    <s v="January"/>
  </r>
  <r>
    <x v="0"/>
    <s v="Ana"/>
    <n v="1128299"/>
    <d v="2022-12-19T00:00:00"/>
    <d v="2023-01-18T00:00:00"/>
    <s v="West"/>
    <s v="California"/>
    <x v="3"/>
    <n v="0.55000000000000004"/>
    <n v="7750"/>
    <n v="30"/>
    <n v="4262.5"/>
    <s v="January"/>
  </r>
  <r>
    <x v="0"/>
    <s v="Ana"/>
    <n v="1128299"/>
    <d v="2022-12-19T00:00:00"/>
    <d v="2023-01-18T00:00:00"/>
    <s v="West"/>
    <s v="California"/>
    <x v="4"/>
    <n v="0.65"/>
    <n v="7000"/>
    <n v="30"/>
    <n v="4550"/>
    <s v="January"/>
  </r>
  <r>
    <x v="0"/>
    <s v="Ana"/>
    <n v="1128299"/>
    <d v="2022-12-19T00:00:00"/>
    <d v="2023-01-18T00:00:00"/>
    <s v="West"/>
    <s v="California"/>
    <x v="5"/>
    <n v="0.70000000000000007"/>
    <n v="8000"/>
    <n v="30"/>
    <n v="5600.0000000000009"/>
    <s v="January"/>
  </r>
  <r>
    <x v="1"/>
    <s v="Stuart"/>
    <n v="1197831"/>
    <d v="2022-01-02T00:00:00"/>
    <d v="2022-02-01T00:00:00"/>
    <s v="South"/>
    <s v="Texas"/>
    <x v="0"/>
    <n v="0.25"/>
    <n v="9000"/>
    <n v="30"/>
    <n v="2250"/>
    <s v="February"/>
  </r>
  <r>
    <x v="1"/>
    <s v="Stuart"/>
    <n v="1197831"/>
    <d v="2022-01-02T00:00:00"/>
    <d v="2022-02-01T00:00:00"/>
    <s v="South"/>
    <s v="Texas"/>
    <x v="1"/>
    <n v="0.35"/>
    <n v="9000"/>
    <n v="30"/>
    <n v="3150"/>
    <s v="February"/>
  </r>
  <r>
    <x v="1"/>
    <s v="Stuart"/>
    <n v="1197831"/>
    <d v="2022-01-02T00:00:00"/>
    <d v="2022-02-01T00:00:00"/>
    <s v="South"/>
    <s v="Texas"/>
    <x v="2"/>
    <n v="0.35"/>
    <n v="7000"/>
    <n v="30"/>
    <n v="2450"/>
    <s v="February"/>
  </r>
  <r>
    <x v="1"/>
    <s v="Stuart"/>
    <n v="1197831"/>
    <d v="2022-01-02T00:00:00"/>
    <d v="2022-02-01T00:00:00"/>
    <s v="South"/>
    <s v="Texas"/>
    <x v="3"/>
    <n v="0.35"/>
    <n v="7000"/>
    <n v="30"/>
    <n v="2450"/>
    <s v="February"/>
  </r>
  <r>
    <x v="1"/>
    <s v="Stuart"/>
    <n v="1197831"/>
    <d v="2022-01-02T00:00:00"/>
    <d v="2022-02-01T00:00:00"/>
    <s v="South"/>
    <s v="Texas"/>
    <x v="4"/>
    <n v="0.4"/>
    <n v="5500"/>
    <n v="30"/>
    <n v="2200"/>
    <s v="February"/>
  </r>
  <r>
    <x v="1"/>
    <s v="Stuart"/>
    <n v="1197831"/>
    <d v="2022-01-02T00:00:00"/>
    <d v="2022-02-01T00:00:00"/>
    <s v="South"/>
    <s v="Texas"/>
    <x v="5"/>
    <n v="0.35"/>
    <n v="7000"/>
    <n v="30"/>
    <n v="2450"/>
    <s v="February"/>
  </r>
  <r>
    <x v="1"/>
    <s v="Stuart"/>
    <n v="1197831"/>
    <d v="2022-02-01T00:00:00"/>
    <d v="2022-03-03T00:00:00"/>
    <s v="South"/>
    <s v="Texas"/>
    <x v="0"/>
    <n v="0.25"/>
    <n v="8500"/>
    <n v="30"/>
    <n v="2125"/>
    <s v="March"/>
  </r>
  <r>
    <x v="1"/>
    <s v="Stuart"/>
    <n v="1197831"/>
    <d v="2022-02-01T00:00:00"/>
    <d v="2022-03-11T00:00:00"/>
    <s v="South"/>
    <s v="Texas"/>
    <x v="1"/>
    <n v="0.35"/>
    <n v="8500"/>
    <n v="38"/>
    <n v="2975"/>
    <s v="March"/>
  </r>
  <r>
    <x v="1"/>
    <s v="Stuart"/>
    <n v="1197831"/>
    <d v="2022-02-01T00:00:00"/>
    <d v="2022-03-22T00:00:00"/>
    <s v="South"/>
    <s v="Texas"/>
    <x v="2"/>
    <n v="0.35"/>
    <n v="6750"/>
    <n v="49"/>
    <n v="2362.5"/>
    <s v="March"/>
  </r>
  <r>
    <x v="1"/>
    <s v="Stuart"/>
    <n v="1197831"/>
    <d v="2022-02-01T00:00:00"/>
    <d v="2022-03-03T00:00:00"/>
    <s v="South"/>
    <s v="Texas"/>
    <x v="3"/>
    <n v="0.35"/>
    <n v="6250"/>
    <n v="30"/>
    <n v="2187.5"/>
    <s v="March"/>
  </r>
  <r>
    <x v="1"/>
    <s v="Stuart"/>
    <n v="1197831"/>
    <d v="2022-02-01T00:00:00"/>
    <d v="2022-03-03T00:00:00"/>
    <s v="South"/>
    <s v="Texas"/>
    <x v="4"/>
    <n v="0.4"/>
    <n v="5000"/>
    <n v="30"/>
    <n v="2000"/>
    <s v="March"/>
  </r>
  <r>
    <x v="1"/>
    <s v="Stuart"/>
    <n v="1197831"/>
    <d v="2022-02-01T00:00:00"/>
    <d v="2022-03-03T00:00:00"/>
    <s v="South"/>
    <s v="Texas"/>
    <x v="5"/>
    <n v="0.35"/>
    <n v="7000"/>
    <n v="30"/>
    <n v="2450"/>
    <s v="March"/>
  </r>
  <r>
    <x v="1"/>
    <s v="Stuart"/>
    <n v="1197831"/>
    <d v="2022-03-03T00:00:00"/>
    <d v="2022-04-02T00:00:00"/>
    <s v="South"/>
    <s v="Texas"/>
    <x v="0"/>
    <n v="0.3"/>
    <n v="8750"/>
    <n v="30"/>
    <n v="2625"/>
    <s v="April"/>
  </r>
  <r>
    <x v="1"/>
    <s v="Stuart"/>
    <n v="1197831"/>
    <d v="2022-03-03T00:00:00"/>
    <d v="2022-04-02T00:00:00"/>
    <s v="South"/>
    <s v="Texas"/>
    <x v="1"/>
    <n v="0.4"/>
    <n v="8750"/>
    <n v="30"/>
    <n v="3500"/>
    <s v="April"/>
  </r>
  <r>
    <x v="1"/>
    <s v="Stuart"/>
    <n v="1197831"/>
    <d v="2022-03-03T00:00:00"/>
    <d v="2022-04-02T00:00:00"/>
    <s v="South"/>
    <s v="Texas"/>
    <x v="2"/>
    <n v="0.35"/>
    <n v="7000"/>
    <n v="30"/>
    <n v="2450"/>
    <s v="April"/>
  </r>
  <r>
    <x v="1"/>
    <s v="Stuart"/>
    <n v="1197831"/>
    <d v="2022-03-03T00:00:00"/>
    <d v="2022-04-02T00:00:00"/>
    <s v="South"/>
    <s v="Texas"/>
    <x v="3"/>
    <n v="0.4"/>
    <n v="6000"/>
    <n v="30"/>
    <n v="2400"/>
    <s v="April"/>
  </r>
  <r>
    <x v="1"/>
    <s v="Stuart"/>
    <n v="1197831"/>
    <d v="2022-03-03T00:00:00"/>
    <d v="2022-04-02T00:00:00"/>
    <s v="South"/>
    <s v="Texas"/>
    <x v="4"/>
    <n v="0.45"/>
    <n v="5000"/>
    <n v="30"/>
    <n v="2250"/>
    <s v="April"/>
  </r>
  <r>
    <x v="1"/>
    <s v="Stuart"/>
    <n v="1197831"/>
    <d v="2022-03-03T00:00:00"/>
    <d v="2022-04-02T00:00:00"/>
    <s v="South"/>
    <s v="Texas"/>
    <x v="5"/>
    <n v="0.4"/>
    <n v="6500"/>
    <n v="30"/>
    <n v="2600"/>
    <s v="April"/>
  </r>
  <r>
    <x v="1"/>
    <s v="Stuart"/>
    <n v="1197831"/>
    <d v="2022-04-02T00:00:00"/>
    <d v="2022-05-02T00:00:00"/>
    <s v="South"/>
    <s v="Texas"/>
    <x v="0"/>
    <n v="0.3"/>
    <n v="9000"/>
    <n v="30"/>
    <n v="2700"/>
    <s v="May"/>
  </r>
  <r>
    <x v="1"/>
    <s v="Stuart"/>
    <n v="1197831"/>
    <d v="2022-04-02T00:00:00"/>
    <d v="2022-05-02T00:00:00"/>
    <s v="South"/>
    <s v="Texas"/>
    <x v="1"/>
    <n v="0.4"/>
    <n v="9000"/>
    <n v="30"/>
    <n v="3600"/>
    <s v="May"/>
  </r>
  <r>
    <x v="1"/>
    <s v="Stuart"/>
    <n v="1197831"/>
    <d v="2022-04-02T00:00:00"/>
    <d v="2022-05-02T00:00:00"/>
    <s v="South"/>
    <s v="Texas"/>
    <x v="2"/>
    <n v="0.35"/>
    <n v="7250"/>
    <n v="30"/>
    <n v="2537.5"/>
    <s v="May"/>
  </r>
  <r>
    <x v="1"/>
    <s v="Stuart"/>
    <n v="1197831"/>
    <d v="2022-04-02T00:00:00"/>
    <d v="2022-05-02T00:00:00"/>
    <s v="South"/>
    <s v="Texas"/>
    <x v="3"/>
    <n v="0.4"/>
    <n v="6250"/>
    <n v="30"/>
    <n v="2500"/>
    <s v="May"/>
  </r>
  <r>
    <x v="1"/>
    <s v="Stuart"/>
    <n v="1197831"/>
    <d v="2022-04-02T00:00:00"/>
    <d v="2022-05-02T00:00:00"/>
    <s v="South"/>
    <s v="Texas"/>
    <x v="4"/>
    <n v="0.45"/>
    <n v="5250"/>
    <n v="30"/>
    <n v="2362.5"/>
    <s v="May"/>
  </r>
  <r>
    <x v="1"/>
    <s v="Stuart"/>
    <n v="1197831"/>
    <d v="2022-04-02T00:00:00"/>
    <d v="2022-05-02T00:00:00"/>
    <s v="South"/>
    <s v="Texas"/>
    <x v="5"/>
    <n v="0.4"/>
    <n v="8000"/>
    <n v="30"/>
    <n v="3200"/>
    <s v="May"/>
  </r>
  <r>
    <x v="1"/>
    <s v="Stuart"/>
    <n v="1197831"/>
    <d v="2022-05-02T00:00:00"/>
    <d v="2022-06-01T00:00:00"/>
    <s v="South"/>
    <s v="Texas"/>
    <x v="0"/>
    <n v="0.3"/>
    <n v="9250"/>
    <n v="30"/>
    <n v="2775"/>
    <s v="June"/>
  </r>
  <r>
    <x v="1"/>
    <s v="Stuart"/>
    <n v="1197831"/>
    <d v="2022-05-02T00:00:00"/>
    <d v="2022-06-01T00:00:00"/>
    <s v="South"/>
    <s v="Texas"/>
    <x v="1"/>
    <n v="0.4"/>
    <n v="9250"/>
    <n v="30"/>
    <n v="3700"/>
    <s v="June"/>
  </r>
  <r>
    <x v="1"/>
    <s v="Stuart"/>
    <n v="1197831"/>
    <d v="2022-05-02T00:00:00"/>
    <d v="2022-06-01T00:00:00"/>
    <s v="South"/>
    <s v="Texas"/>
    <x v="2"/>
    <n v="0.35"/>
    <n v="7750"/>
    <n v="30"/>
    <n v="2712.5"/>
    <s v="June"/>
  </r>
  <r>
    <x v="1"/>
    <s v="Stuart"/>
    <n v="1197831"/>
    <d v="2022-05-02T00:00:00"/>
    <d v="2022-06-01T00:00:00"/>
    <s v="South"/>
    <s v="Texas"/>
    <x v="3"/>
    <n v="0.4"/>
    <n v="7000"/>
    <n v="30"/>
    <n v="2800"/>
    <s v="June"/>
  </r>
  <r>
    <x v="1"/>
    <s v="Stuart"/>
    <n v="1197831"/>
    <d v="2022-05-02T00:00:00"/>
    <d v="2022-06-01T00:00:00"/>
    <s v="South"/>
    <s v="Texas"/>
    <x v="4"/>
    <n v="0.45"/>
    <n v="6000"/>
    <n v="30"/>
    <n v="2700"/>
    <s v="June"/>
  </r>
  <r>
    <x v="1"/>
    <s v="Stuart"/>
    <n v="1197831"/>
    <d v="2022-05-02T00:00:00"/>
    <d v="2022-06-01T00:00:00"/>
    <s v="South"/>
    <s v="Texas"/>
    <x v="5"/>
    <n v="0.4"/>
    <n v="9500"/>
    <n v="30"/>
    <n v="3800"/>
    <s v="June"/>
  </r>
  <r>
    <x v="1"/>
    <s v="Stuart"/>
    <n v="1197831"/>
    <d v="2022-06-01T00:00:00"/>
    <d v="2022-07-01T00:00:00"/>
    <s v="South"/>
    <s v="Texas"/>
    <x v="0"/>
    <n v="0.4"/>
    <n v="9500"/>
    <n v="30"/>
    <n v="3800"/>
    <s v="July"/>
  </r>
  <r>
    <x v="1"/>
    <s v="Stuart"/>
    <n v="1197831"/>
    <d v="2022-06-01T00:00:00"/>
    <d v="2022-07-01T00:00:00"/>
    <s v="South"/>
    <s v="Texas"/>
    <x v="1"/>
    <n v="0.45"/>
    <n v="9500"/>
    <n v="30"/>
    <n v="4275"/>
    <s v="July"/>
  </r>
  <r>
    <x v="1"/>
    <s v="Stuart"/>
    <n v="1197831"/>
    <d v="2022-06-01T00:00:00"/>
    <d v="2022-07-01T00:00:00"/>
    <s v="South"/>
    <s v="Texas"/>
    <x v="2"/>
    <n v="0.4"/>
    <n v="8000"/>
    <n v="30"/>
    <n v="3200"/>
    <s v="July"/>
  </r>
  <r>
    <x v="1"/>
    <s v="Stuart"/>
    <n v="1197831"/>
    <d v="2022-06-01T00:00:00"/>
    <d v="2022-07-01T00:00:00"/>
    <s v="South"/>
    <s v="Texas"/>
    <x v="3"/>
    <n v="0.4"/>
    <n v="7500"/>
    <n v="30"/>
    <n v="3000"/>
    <s v="July"/>
  </r>
  <r>
    <x v="1"/>
    <s v="Stuart"/>
    <n v="1197831"/>
    <d v="2022-06-01T00:00:00"/>
    <d v="2022-07-01T00:00:00"/>
    <s v="South"/>
    <s v="Texas"/>
    <x v="4"/>
    <n v="0.45"/>
    <n v="6500"/>
    <n v="30"/>
    <n v="2925"/>
    <s v="July"/>
  </r>
  <r>
    <x v="1"/>
    <s v="Stuart"/>
    <n v="1197831"/>
    <d v="2022-06-01T00:00:00"/>
    <d v="2022-07-01T00:00:00"/>
    <s v="South"/>
    <s v="Texas"/>
    <x v="5"/>
    <n v="0.5"/>
    <n v="10000"/>
    <n v="30"/>
    <n v="5000"/>
    <s v="July"/>
  </r>
  <r>
    <x v="1"/>
    <s v="Stuart"/>
    <n v="1197831"/>
    <d v="2022-07-03T00:00:00"/>
    <d v="2022-08-02T00:00:00"/>
    <s v="South"/>
    <s v="Texas"/>
    <x v="0"/>
    <n v="0.4"/>
    <n v="9500"/>
    <n v="30"/>
    <n v="3800"/>
    <s v="August"/>
  </r>
  <r>
    <x v="1"/>
    <s v="Stuart"/>
    <n v="1197831"/>
    <d v="2022-07-03T00:00:00"/>
    <d v="2022-08-02T00:00:00"/>
    <s v="South"/>
    <s v="Texas"/>
    <x v="1"/>
    <n v="0.45"/>
    <n v="9500"/>
    <n v="30"/>
    <n v="4275"/>
    <s v="August"/>
  </r>
  <r>
    <x v="1"/>
    <s v="Stuart"/>
    <n v="1197831"/>
    <d v="2022-07-03T00:00:00"/>
    <d v="2022-08-02T00:00:00"/>
    <s v="South"/>
    <s v="Texas"/>
    <x v="2"/>
    <n v="0.4"/>
    <n v="11000"/>
    <n v="30"/>
    <n v="4400"/>
    <s v="August"/>
  </r>
  <r>
    <x v="1"/>
    <s v="Stuart"/>
    <n v="1197831"/>
    <d v="2022-07-03T00:00:00"/>
    <d v="2022-08-02T00:00:00"/>
    <s v="South"/>
    <s v="Texas"/>
    <x v="3"/>
    <n v="0.4"/>
    <n v="7000"/>
    <n v="30"/>
    <n v="2800"/>
    <s v="August"/>
  </r>
  <r>
    <x v="1"/>
    <s v="Stuart"/>
    <n v="1197831"/>
    <d v="2022-07-03T00:00:00"/>
    <d v="2022-08-02T00:00:00"/>
    <s v="South"/>
    <s v="Texas"/>
    <x v="4"/>
    <n v="0.45"/>
    <n v="7000"/>
    <n v="30"/>
    <n v="3150"/>
    <s v="August"/>
  </r>
  <r>
    <x v="1"/>
    <s v="Stuart"/>
    <n v="1197831"/>
    <d v="2022-07-03T00:00:00"/>
    <d v="2022-08-02T00:00:00"/>
    <s v="South"/>
    <s v="Texas"/>
    <x v="5"/>
    <n v="0.5"/>
    <n v="9750"/>
    <n v="30"/>
    <n v="4875"/>
    <s v="August"/>
  </r>
  <r>
    <x v="1"/>
    <s v="Stuart"/>
    <n v="1197831"/>
    <d v="2022-08-05T00:00:00"/>
    <d v="2022-09-04T00:00:00"/>
    <s v="South"/>
    <s v="Texas"/>
    <x v="0"/>
    <n v="0.4"/>
    <n v="9250"/>
    <n v="30"/>
    <n v="3700"/>
    <s v="September"/>
  </r>
  <r>
    <x v="1"/>
    <s v="Stuart"/>
    <n v="1197831"/>
    <d v="2022-08-05T00:00:00"/>
    <d v="2022-09-04T00:00:00"/>
    <s v="South"/>
    <s v="Texas"/>
    <x v="1"/>
    <n v="0.45"/>
    <n v="9250"/>
    <n v="30"/>
    <n v="4162.5"/>
    <s v="September"/>
  </r>
  <r>
    <x v="1"/>
    <s v="Stuart"/>
    <n v="1197831"/>
    <d v="2022-08-05T00:00:00"/>
    <d v="2022-09-04T00:00:00"/>
    <s v="South"/>
    <s v="Texas"/>
    <x v="2"/>
    <n v="0.4"/>
    <n v="11000"/>
    <n v="30"/>
    <n v="4400"/>
    <s v="September"/>
  </r>
  <r>
    <x v="1"/>
    <s v="Stuart"/>
    <n v="1197831"/>
    <d v="2022-08-05T00:00:00"/>
    <d v="2022-09-04T00:00:00"/>
    <s v="South"/>
    <s v="Texas"/>
    <x v="3"/>
    <n v="0.4"/>
    <n v="6500"/>
    <n v="30"/>
    <n v="2600"/>
    <s v="September"/>
  </r>
  <r>
    <x v="1"/>
    <s v="Stuart"/>
    <n v="1197831"/>
    <d v="2022-08-05T00:00:00"/>
    <d v="2022-09-04T00:00:00"/>
    <s v="South"/>
    <s v="Texas"/>
    <x v="4"/>
    <n v="0.45"/>
    <n v="6500"/>
    <n v="30"/>
    <n v="2925"/>
    <s v="September"/>
  </r>
  <r>
    <x v="1"/>
    <s v="Stuart"/>
    <n v="1197831"/>
    <d v="2022-08-05T00:00:00"/>
    <d v="2022-09-04T00:00:00"/>
    <s v="South"/>
    <s v="Texas"/>
    <x v="5"/>
    <n v="0.5"/>
    <n v="9000"/>
    <n v="30"/>
    <n v="4500"/>
    <s v="September"/>
  </r>
  <r>
    <x v="1"/>
    <s v="Stuart"/>
    <n v="1197831"/>
    <d v="2022-09-02T00:00:00"/>
    <d v="2022-10-02T00:00:00"/>
    <s v="South"/>
    <s v="Texas"/>
    <x v="0"/>
    <n v="0.45"/>
    <n v="8500"/>
    <n v="30"/>
    <n v="3825"/>
    <s v="October"/>
  </r>
  <r>
    <x v="1"/>
    <s v="Stuart"/>
    <n v="1197831"/>
    <d v="2022-09-02T00:00:00"/>
    <d v="2022-10-02T00:00:00"/>
    <s v="South"/>
    <s v="Texas"/>
    <x v="1"/>
    <n v="0.45"/>
    <n v="8500"/>
    <n v="30"/>
    <n v="3825"/>
    <s v="October"/>
  </r>
  <r>
    <x v="1"/>
    <s v="Stuart"/>
    <n v="1197831"/>
    <d v="2022-09-02T00:00:00"/>
    <d v="2022-10-02T00:00:00"/>
    <s v="South"/>
    <s v="Texas"/>
    <x v="2"/>
    <n v="0.5"/>
    <n v="9000"/>
    <n v="30"/>
    <n v="4500"/>
    <s v="October"/>
  </r>
  <r>
    <x v="1"/>
    <s v="Stuart"/>
    <n v="1197831"/>
    <d v="2022-09-02T00:00:00"/>
    <d v="2022-10-02T00:00:00"/>
    <s v="South"/>
    <s v="Texas"/>
    <x v="3"/>
    <n v="0.5"/>
    <n v="6250"/>
    <n v="30"/>
    <n v="3125"/>
    <s v="October"/>
  </r>
  <r>
    <x v="1"/>
    <s v="Stuart"/>
    <n v="1197831"/>
    <d v="2022-09-02T00:00:00"/>
    <d v="2022-10-02T00:00:00"/>
    <s v="South"/>
    <s v="Texas"/>
    <x v="4"/>
    <n v="0.45"/>
    <n v="6250"/>
    <n v="30"/>
    <n v="2812.5"/>
    <s v="October"/>
  </r>
  <r>
    <x v="1"/>
    <s v="Stuart"/>
    <n v="1197831"/>
    <d v="2022-09-02T00:00:00"/>
    <d v="2022-10-02T00:00:00"/>
    <s v="South"/>
    <s v="Texas"/>
    <x v="5"/>
    <n v="0.55000000000000004"/>
    <n v="8500"/>
    <n v="30"/>
    <n v="4675"/>
    <s v="October"/>
  </r>
  <r>
    <x v="1"/>
    <s v="Stuart"/>
    <n v="1197831"/>
    <d v="2022-10-01T00:00:00"/>
    <d v="2022-10-31T00:00:00"/>
    <s v="South"/>
    <s v="Texas"/>
    <x v="0"/>
    <n v="0.45"/>
    <n v="8000"/>
    <n v="30"/>
    <n v="3600"/>
    <s v="October"/>
  </r>
  <r>
    <x v="1"/>
    <s v="Stuart"/>
    <n v="1197831"/>
    <d v="2022-10-01T00:00:00"/>
    <d v="2022-10-31T00:00:00"/>
    <s v="South"/>
    <s v="Texas"/>
    <x v="1"/>
    <n v="0.45"/>
    <n v="8000"/>
    <n v="30"/>
    <n v="3600"/>
    <s v="October"/>
  </r>
  <r>
    <x v="1"/>
    <s v="Stuart"/>
    <n v="1197831"/>
    <d v="2022-10-01T00:00:00"/>
    <d v="2022-10-31T00:00:00"/>
    <s v="South"/>
    <s v="Texas"/>
    <x v="2"/>
    <n v="0.5"/>
    <n v="7500"/>
    <n v="30"/>
    <n v="3750"/>
    <s v="October"/>
  </r>
  <r>
    <x v="1"/>
    <s v="Stuart"/>
    <n v="1197831"/>
    <d v="2022-10-01T00:00:00"/>
    <d v="2022-10-31T00:00:00"/>
    <s v="South"/>
    <s v="Texas"/>
    <x v="3"/>
    <n v="0.5"/>
    <n v="6000"/>
    <n v="30"/>
    <n v="3000"/>
    <s v="October"/>
  </r>
  <r>
    <x v="1"/>
    <s v="Stuart"/>
    <n v="1197831"/>
    <d v="2022-10-01T00:00:00"/>
    <d v="2022-10-31T00:00:00"/>
    <s v="South"/>
    <s v="Texas"/>
    <x v="4"/>
    <n v="0.45"/>
    <n v="5750"/>
    <n v="30"/>
    <n v="2587.5"/>
    <s v="October"/>
  </r>
  <r>
    <x v="1"/>
    <s v="Stuart"/>
    <n v="1197831"/>
    <d v="2022-10-01T00:00:00"/>
    <d v="2022-10-31T00:00:00"/>
    <s v="South"/>
    <s v="Texas"/>
    <x v="5"/>
    <n v="0.55000000000000004"/>
    <n v="7500"/>
    <n v="30"/>
    <n v="4125"/>
    <s v="October"/>
  </r>
  <r>
    <x v="1"/>
    <s v="Stuart"/>
    <n v="1197831"/>
    <d v="2022-11-02T00:00:00"/>
    <d v="2022-12-02T00:00:00"/>
    <s v="South"/>
    <s v="Texas"/>
    <x v="0"/>
    <n v="0.45"/>
    <n v="9000"/>
    <n v="30"/>
    <n v="4050"/>
    <s v="December"/>
  </r>
  <r>
    <x v="1"/>
    <s v="Stuart"/>
    <n v="1197831"/>
    <d v="2022-11-02T00:00:00"/>
    <d v="2022-12-02T00:00:00"/>
    <s v="South"/>
    <s v="Texas"/>
    <x v="1"/>
    <n v="0.45"/>
    <n v="9000"/>
    <n v="30"/>
    <n v="4050"/>
    <s v="December"/>
  </r>
  <r>
    <x v="1"/>
    <s v="Stuart"/>
    <n v="1197831"/>
    <d v="2022-11-02T00:00:00"/>
    <d v="2022-12-02T00:00:00"/>
    <s v="South"/>
    <s v="Texas"/>
    <x v="2"/>
    <n v="0.5"/>
    <n v="8250"/>
    <n v="30"/>
    <n v="4125"/>
    <s v="December"/>
  </r>
  <r>
    <x v="1"/>
    <s v="Stuart"/>
    <n v="1197831"/>
    <d v="2022-11-02T00:00:00"/>
    <d v="2022-12-02T00:00:00"/>
    <s v="South"/>
    <s v="Texas"/>
    <x v="3"/>
    <n v="0.5"/>
    <n v="6750"/>
    <n v="30"/>
    <n v="3375"/>
    <s v="December"/>
  </r>
  <r>
    <x v="1"/>
    <s v="Stuart"/>
    <n v="1197831"/>
    <d v="2022-11-02T00:00:00"/>
    <d v="2022-12-02T00:00:00"/>
    <s v="South"/>
    <s v="Texas"/>
    <x v="4"/>
    <n v="0.45"/>
    <n v="6500"/>
    <n v="30"/>
    <n v="2925"/>
    <s v="December"/>
  </r>
  <r>
    <x v="1"/>
    <s v="Stuart"/>
    <n v="1197831"/>
    <d v="2022-11-02T00:00:00"/>
    <d v="2022-12-02T00:00:00"/>
    <s v="South"/>
    <s v="Texas"/>
    <x v="5"/>
    <n v="0.55000000000000004"/>
    <n v="8500"/>
    <n v="30"/>
    <n v="4675"/>
    <s v="December"/>
  </r>
  <r>
    <x v="1"/>
    <s v="Stuart"/>
    <n v="1197831"/>
    <d v="2022-12-01T00:00:00"/>
    <d v="2022-12-31T00:00:00"/>
    <s v="South"/>
    <s v="Texas"/>
    <x v="0"/>
    <n v="0.45"/>
    <n v="9500"/>
    <n v="30"/>
    <n v="4275"/>
    <s v="December"/>
  </r>
  <r>
    <x v="1"/>
    <s v="Stuart"/>
    <n v="1197831"/>
    <d v="2022-12-01T00:00:00"/>
    <d v="2022-12-31T00:00:00"/>
    <s v="South"/>
    <s v="Texas"/>
    <x v="1"/>
    <n v="0.45"/>
    <n v="9500"/>
    <n v="30"/>
    <n v="4275"/>
    <s v="December"/>
  </r>
  <r>
    <x v="1"/>
    <s v="Stuart"/>
    <n v="1197831"/>
    <d v="2022-12-01T00:00:00"/>
    <d v="2022-12-31T00:00:00"/>
    <s v="South"/>
    <s v="Texas"/>
    <x v="2"/>
    <n v="0.5"/>
    <n v="8500"/>
    <n v="30"/>
    <n v="4250"/>
    <s v="December"/>
  </r>
  <r>
    <x v="1"/>
    <s v="Stuart"/>
    <n v="1197831"/>
    <d v="2022-12-01T00:00:00"/>
    <d v="2022-12-31T00:00:00"/>
    <s v="South"/>
    <s v="Texas"/>
    <x v="3"/>
    <n v="0.5"/>
    <n v="7000"/>
    <n v="30"/>
    <n v="3500"/>
    <s v="December"/>
  </r>
  <r>
    <x v="1"/>
    <s v="Stuart"/>
    <n v="1197831"/>
    <d v="2022-12-01T00:00:00"/>
    <d v="2022-12-31T00:00:00"/>
    <s v="South"/>
    <s v="Texas"/>
    <x v="4"/>
    <n v="0.45"/>
    <n v="6500"/>
    <n v="30"/>
    <n v="2925"/>
    <s v="December"/>
  </r>
  <r>
    <x v="1"/>
    <s v="Stuart"/>
    <n v="1197831"/>
    <d v="2022-12-01T00:00:00"/>
    <d v="2022-12-31T00:00:00"/>
    <s v="South"/>
    <s v="Texas"/>
    <x v="5"/>
    <n v="0.55000000000000004"/>
    <n v="9000"/>
    <n v="30"/>
    <n v="4950"/>
    <s v="December"/>
  </r>
  <r>
    <x v="2"/>
    <s v="Maria"/>
    <n v="1189833"/>
    <d v="2022-01-15T00:00:00"/>
    <d v="2022-02-19T00:00:00"/>
    <s v="West"/>
    <s v="California"/>
    <x v="0"/>
    <n v="0.35"/>
    <n v="7000"/>
    <n v="35"/>
    <n v="2450"/>
    <s v="February"/>
  </r>
  <r>
    <x v="2"/>
    <s v="Maria"/>
    <n v="1189833"/>
    <d v="2022-01-15T00:00:00"/>
    <d v="2022-02-14T00:00:00"/>
    <s v="West"/>
    <s v="California"/>
    <x v="1"/>
    <n v="0.45"/>
    <n v="7000"/>
    <n v="30"/>
    <n v="3150"/>
    <s v="February"/>
  </r>
  <r>
    <x v="2"/>
    <s v="Maria"/>
    <n v="1189833"/>
    <d v="2022-01-15T00:00:00"/>
    <d v="2022-02-14T00:00:00"/>
    <s v="West"/>
    <s v="California"/>
    <x v="2"/>
    <n v="0.45"/>
    <n v="7000"/>
    <n v="30"/>
    <n v="3150"/>
    <s v="February"/>
  </r>
  <r>
    <x v="2"/>
    <s v="Maria"/>
    <n v="1189833"/>
    <d v="2022-01-15T00:00:00"/>
    <d v="2022-02-14T00:00:00"/>
    <s v="West"/>
    <s v="California"/>
    <x v="3"/>
    <n v="0.45"/>
    <n v="5500"/>
    <n v="30"/>
    <n v="2475"/>
    <s v="February"/>
  </r>
  <r>
    <x v="2"/>
    <s v="Maria"/>
    <n v="1189833"/>
    <d v="2022-01-15T00:00:00"/>
    <d v="2022-02-14T00:00:00"/>
    <s v="West"/>
    <s v="California"/>
    <x v="4"/>
    <n v="0.5"/>
    <n v="5000"/>
    <n v="30"/>
    <n v="2500"/>
    <s v="February"/>
  </r>
  <r>
    <x v="2"/>
    <s v="Maria"/>
    <n v="1189833"/>
    <d v="2022-01-15T00:00:00"/>
    <d v="2022-02-14T00:00:00"/>
    <s v="West"/>
    <s v="California"/>
    <x v="5"/>
    <n v="0.45"/>
    <n v="7000"/>
    <n v="30"/>
    <n v="3150"/>
    <s v="February"/>
  </r>
  <r>
    <x v="2"/>
    <s v="Maria"/>
    <n v="1189833"/>
    <d v="2022-02-15T00:00:00"/>
    <d v="2022-03-17T00:00:00"/>
    <s v="West"/>
    <s v="California"/>
    <x v="0"/>
    <n v="0.35"/>
    <n v="7500"/>
    <n v="30"/>
    <n v="2625"/>
    <s v="March"/>
  </r>
  <r>
    <x v="2"/>
    <s v="Maria"/>
    <n v="1189833"/>
    <d v="2022-02-15T00:00:00"/>
    <d v="2022-03-17T00:00:00"/>
    <s v="West"/>
    <s v="California"/>
    <x v="1"/>
    <n v="0.45"/>
    <n v="6500"/>
    <n v="30"/>
    <n v="2925"/>
    <s v="March"/>
  </r>
  <r>
    <x v="2"/>
    <s v="Maria"/>
    <n v="1189833"/>
    <d v="2022-02-15T00:00:00"/>
    <d v="2022-03-17T00:00:00"/>
    <s v="West"/>
    <s v="California"/>
    <x v="2"/>
    <n v="0.45"/>
    <n v="6750"/>
    <n v="30"/>
    <n v="3037.5"/>
    <s v="March"/>
  </r>
  <r>
    <x v="2"/>
    <s v="Maria"/>
    <n v="1189833"/>
    <d v="2022-02-15T00:00:00"/>
    <d v="2022-03-17T00:00:00"/>
    <s v="West"/>
    <s v="California"/>
    <x v="3"/>
    <n v="0.45"/>
    <n v="5250"/>
    <n v="30"/>
    <n v="2362.5"/>
    <s v="March"/>
  </r>
  <r>
    <x v="2"/>
    <s v="Maria"/>
    <n v="1189833"/>
    <d v="2022-02-15T00:00:00"/>
    <d v="2022-03-22T00:00:00"/>
    <s v="West"/>
    <s v="California"/>
    <x v="4"/>
    <n v="0.5"/>
    <n v="4500"/>
    <n v="35"/>
    <n v="2250"/>
    <s v="March"/>
  </r>
  <r>
    <x v="2"/>
    <s v="Maria"/>
    <n v="1189833"/>
    <d v="2022-02-15T00:00:00"/>
    <d v="2022-03-25T00:00:00"/>
    <s v="West"/>
    <s v="California"/>
    <x v="5"/>
    <n v="0.45"/>
    <n v="6500"/>
    <n v="38"/>
    <n v="2925"/>
    <s v="March"/>
  </r>
  <r>
    <x v="2"/>
    <s v="Maria"/>
    <n v="1189833"/>
    <d v="2022-03-14T00:00:00"/>
    <d v="2022-04-13T00:00:00"/>
    <s v="West"/>
    <s v="California"/>
    <x v="0"/>
    <n v="0.35"/>
    <n v="8000"/>
    <n v="30"/>
    <n v="2800"/>
    <s v="April"/>
  </r>
  <r>
    <x v="2"/>
    <s v="Maria"/>
    <n v="1189833"/>
    <d v="2022-03-14T00:00:00"/>
    <d v="2022-04-13T00:00:00"/>
    <s v="West"/>
    <s v="California"/>
    <x v="1"/>
    <n v="0.45"/>
    <n v="6500"/>
    <n v="30"/>
    <n v="2925"/>
    <s v="April"/>
  </r>
  <r>
    <x v="2"/>
    <s v="Maria"/>
    <n v="1189833"/>
    <d v="2022-03-14T00:00:00"/>
    <d v="2022-04-13T00:00:00"/>
    <s v="West"/>
    <s v="California"/>
    <x v="2"/>
    <n v="0.45"/>
    <n v="6500"/>
    <n v="30"/>
    <n v="2925"/>
    <s v="April"/>
  </r>
  <r>
    <x v="2"/>
    <s v="Maria"/>
    <n v="1189833"/>
    <d v="2022-03-14T00:00:00"/>
    <d v="2022-04-13T00:00:00"/>
    <s v="West"/>
    <s v="California"/>
    <x v="3"/>
    <n v="0.45"/>
    <n v="5500"/>
    <n v="30"/>
    <n v="2475"/>
    <s v="April"/>
  </r>
  <r>
    <x v="2"/>
    <s v="Maria"/>
    <n v="1189833"/>
    <d v="2022-03-14T00:00:00"/>
    <d v="2022-04-13T00:00:00"/>
    <s v="West"/>
    <s v="California"/>
    <x v="4"/>
    <n v="0.5"/>
    <n v="4250"/>
    <n v="30"/>
    <n v="2125"/>
    <s v="April"/>
  </r>
  <r>
    <x v="2"/>
    <s v="Maria"/>
    <n v="1189833"/>
    <d v="2022-03-14T00:00:00"/>
    <d v="2022-04-13T00:00:00"/>
    <s v="West"/>
    <s v="California"/>
    <x v="5"/>
    <n v="0.45"/>
    <n v="6250"/>
    <n v="30"/>
    <n v="2812.5"/>
    <s v="April"/>
  </r>
  <r>
    <x v="2"/>
    <s v="Maria"/>
    <n v="1189833"/>
    <d v="2022-04-15T00:00:00"/>
    <d v="2022-05-15T00:00:00"/>
    <s v="West"/>
    <s v="California"/>
    <x v="0"/>
    <n v="0.45"/>
    <n v="8000"/>
    <n v="30"/>
    <n v="3600"/>
    <s v="May"/>
  </r>
  <r>
    <x v="2"/>
    <s v="Maria"/>
    <n v="1189833"/>
    <d v="2022-04-15T00:00:00"/>
    <d v="2022-05-15T00:00:00"/>
    <s v="West"/>
    <s v="California"/>
    <x v="1"/>
    <n v="0.5"/>
    <n v="6000"/>
    <n v="30"/>
    <n v="3000"/>
    <s v="May"/>
  </r>
  <r>
    <x v="2"/>
    <s v="Maria"/>
    <n v="1189833"/>
    <d v="2022-04-15T00:00:00"/>
    <d v="2022-05-15T00:00:00"/>
    <s v="West"/>
    <s v="California"/>
    <x v="2"/>
    <n v="0.5"/>
    <n v="6250"/>
    <n v="30"/>
    <n v="3125"/>
    <s v="May"/>
  </r>
  <r>
    <x v="2"/>
    <s v="Maria"/>
    <n v="1189833"/>
    <d v="2022-04-15T00:00:00"/>
    <d v="2022-05-15T00:00:00"/>
    <s v="West"/>
    <s v="California"/>
    <x v="3"/>
    <n v="0.45"/>
    <n v="5250"/>
    <n v="30"/>
    <n v="2362.5"/>
    <s v="May"/>
  </r>
  <r>
    <x v="2"/>
    <s v="Maria"/>
    <n v="1189833"/>
    <d v="2022-04-15T00:00:00"/>
    <d v="2022-05-15T00:00:00"/>
    <s v="West"/>
    <s v="California"/>
    <x v="4"/>
    <n v="0.5"/>
    <n v="4250"/>
    <n v="30"/>
    <n v="2125"/>
    <s v="May"/>
  </r>
  <r>
    <x v="2"/>
    <s v="Maria"/>
    <n v="1189833"/>
    <d v="2022-04-15T00:00:00"/>
    <d v="2022-05-15T00:00:00"/>
    <s v="West"/>
    <s v="California"/>
    <x v="5"/>
    <n v="0.65"/>
    <n v="6000"/>
    <n v="30"/>
    <n v="3900"/>
    <s v="May"/>
  </r>
  <r>
    <x v="2"/>
    <s v="Maria"/>
    <n v="1189833"/>
    <d v="2022-05-16T00:00:00"/>
    <d v="2022-06-15T00:00:00"/>
    <s v="West"/>
    <s v="California"/>
    <x v="0"/>
    <n v="0.45"/>
    <n v="8000"/>
    <n v="30"/>
    <n v="3600"/>
    <s v="June"/>
  </r>
  <r>
    <x v="2"/>
    <s v="Maria"/>
    <n v="1189833"/>
    <d v="2022-05-16T00:00:00"/>
    <d v="2022-06-15T00:00:00"/>
    <s v="West"/>
    <s v="California"/>
    <x v="1"/>
    <n v="0.5"/>
    <n v="6500"/>
    <n v="30"/>
    <n v="3250"/>
    <s v="June"/>
  </r>
  <r>
    <x v="2"/>
    <s v="Maria"/>
    <n v="1189833"/>
    <d v="2022-05-16T00:00:00"/>
    <d v="2022-06-15T00:00:00"/>
    <s v="West"/>
    <s v="California"/>
    <x v="2"/>
    <n v="0.5"/>
    <n v="6500"/>
    <n v="30"/>
    <n v="3250"/>
    <s v="June"/>
  </r>
  <r>
    <x v="2"/>
    <s v="Maria"/>
    <n v="1189833"/>
    <d v="2022-05-16T00:00:00"/>
    <d v="2022-06-15T00:00:00"/>
    <s v="West"/>
    <s v="California"/>
    <x v="3"/>
    <n v="0.45"/>
    <n v="5500"/>
    <n v="30"/>
    <n v="2475"/>
    <s v="June"/>
  </r>
  <r>
    <x v="2"/>
    <s v="Maria"/>
    <n v="1189833"/>
    <d v="2022-05-16T00:00:00"/>
    <d v="2022-06-15T00:00:00"/>
    <s v="West"/>
    <s v="California"/>
    <x v="4"/>
    <n v="0.5"/>
    <n v="4500"/>
    <n v="30"/>
    <n v="2250"/>
    <s v="June"/>
  </r>
  <r>
    <x v="2"/>
    <s v="Maria"/>
    <n v="1189833"/>
    <d v="2022-05-16T00:00:00"/>
    <d v="2022-06-15T00:00:00"/>
    <s v="West"/>
    <s v="California"/>
    <x v="5"/>
    <n v="0.65"/>
    <n v="6250"/>
    <n v="30"/>
    <n v="4062.5"/>
    <s v="June"/>
  </r>
  <r>
    <x v="2"/>
    <s v="Maria"/>
    <n v="1189833"/>
    <d v="2022-06-15T00:00:00"/>
    <d v="2022-07-15T00:00:00"/>
    <s v="West"/>
    <s v="California"/>
    <x v="0"/>
    <n v="0.45"/>
    <n v="9000"/>
    <n v="30"/>
    <n v="4050"/>
    <s v="July"/>
  </r>
  <r>
    <x v="2"/>
    <s v="Maria"/>
    <n v="1189833"/>
    <d v="2022-06-15T00:00:00"/>
    <d v="2022-07-15T00:00:00"/>
    <s v="West"/>
    <s v="California"/>
    <x v="1"/>
    <n v="0.5"/>
    <n v="7500"/>
    <n v="30"/>
    <n v="3750"/>
    <s v="July"/>
  </r>
  <r>
    <x v="2"/>
    <s v="Maria"/>
    <n v="1189833"/>
    <d v="2022-06-15T00:00:00"/>
    <d v="2022-07-15T00:00:00"/>
    <s v="West"/>
    <s v="California"/>
    <x v="2"/>
    <n v="0.5"/>
    <n v="7500"/>
    <n v="30"/>
    <n v="3750"/>
    <s v="July"/>
  </r>
  <r>
    <x v="2"/>
    <s v="Maria"/>
    <n v="1189833"/>
    <d v="2022-06-15T00:00:00"/>
    <d v="2022-07-15T00:00:00"/>
    <s v="West"/>
    <s v="California"/>
    <x v="3"/>
    <n v="0.45"/>
    <n v="6250"/>
    <n v="30"/>
    <n v="2812.5"/>
    <s v="July"/>
  </r>
  <r>
    <x v="2"/>
    <s v="Maria"/>
    <n v="1189833"/>
    <d v="2022-06-15T00:00:00"/>
    <d v="2022-07-15T00:00:00"/>
    <s v="West"/>
    <s v="California"/>
    <x v="4"/>
    <n v="0.5"/>
    <n v="5000"/>
    <n v="30"/>
    <n v="2500"/>
    <s v="July"/>
  </r>
  <r>
    <x v="2"/>
    <s v="Maria"/>
    <n v="1189833"/>
    <d v="2022-06-15T00:00:00"/>
    <d v="2022-07-15T00:00:00"/>
    <s v="West"/>
    <s v="California"/>
    <x v="5"/>
    <n v="0.65"/>
    <n v="8000"/>
    <n v="30"/>
    <n v="5200"/>
    <s v="July"/>
  </r>
  <r>
    <x v="2"/>
    <s v="Maria"/>
    <n v="1189833"/>
    <d v="2022-07-14T00:00:00"/>
    <d v="2022-08-13T00:00:00"/>
    <s v="West"/>
    <s v="California"/>
    <x v="0"/>
    <n v="0.45"/>
    <n v="9500"/>
    <n v="30"/>
    <n v="4275"/>
    <s v="August"/>
  </r>
  <r>
    <x v="2"/>
    <s v="Maria"/>
    <n v="1189833"/>
    <d v="2022-07-14T00:00:00"/>
    <d v="2022-08-13T00:00:00"/>
    <s v="West"/>
    <s v="California"/>
    <x v="1"/>
    <n v="0.5"/>
    <n v="8000"/>
    <n v="30"/>
    <n v="4000"/>
    <s v="August"/>
  </r>
  <r>
    <x v="2"/>
    <s v="Maria"/>
    <n v="1189833"/>
    <d v="2022-07-14T00:00:00"/>
    <d v="2022-08-13T00:00:00"/>
    <s v="West"/>
    <s v="California"/>
    <x v="2"/>
    <n v="0.5"/>
    <n v="7500"/>
    <n v="30"/>
    <n v="3750"/>
    <s v="August"/>
  </r>
  <r>
    <x v="2"/>
    <s v="Maria"/>
    <n v="1189833"/>
    <d v="2022-07-14T00:00:00"/>
    <d v="2022-08-13T00:00:00"/>
    <s v="West"/>
    <s v="California"/>
    <x v="3"/>
    <n v="0.45"/>
    <n v="6500"/>
    <n v="30"/>
    <n v="2925"/>
    <s v="August"/>
  </r>
  <r>
    <x v="2"/>
    <s v="Maria"/>
    <n v="1189833"/>
    <d v="2022-07-14T00:00:00"/>
    <d v="2022-08-13T00:00:00"/>
    <s v="West"/>
    <s v="California"/>
    <x v="4"/>
    <n v="0.5"/>
    <n v="7000"/>
    <n v="30"/>
    <n v="3500"/>
    <s v="August"/>
  </r>
  <r>
    <x v="2"/>
    <s v="Maria"/>
    <n v="1189833"/>
    <d v="2022-07-14T00:00:00"/>
    <d v="2022-08-13T00:00:00"/>
    <s v="West"/>
    <s v="California"/>
    <x v="5"/>
    <n v="0.65"/>
    <n v="7000"/>
    <n v="30"/>
    <n v="4550"/>
    <s v="August"/>
  </r>
  <r>
    <x v="2"/>
    <s v="Maria"/>
    <n v="1189833"/>
    <d v="2022-08-15T00:00:00"/>
    <d v="2022-09-14T00:00:00"/>
    <s v="West"/>
    <s v="California"/>
    <x v="0"/>
    <n v="0.5"/>
    <n v="9000"/>
    <n v="30"/>
    <n v="4500"/>
    <s v="September"/>
  </r>
  <r>
    <x v="2"/>
    <s v="Maria"/>
    <n v="1189833"/>
    <d v="2022-08-15T00:00:00"/>
    <d v="2022-09-14T00:00:00"/>
    <s v="West"/>
    <s v="California"/>
    <x v="1"/>
    <n v="0.55000000000000004"/>
    <n v="8500"/>
    <n v="30"/>
    <n v="4675"/>
    <s v="September"/>
  </r>
  <r>
    <x v="2"/>
    <s v="Maria"/>
    <n v="1189833"/>
    <d v="2022-08-15T00:00:00"/>
    <d v="2022-09-14T00:00:00"/>
    <s v="West"/>
    <s v="California"/>
    <x v="2"/>
    <n v="0.5"/>
    <n v="7250"/>
    <n v="30"/>
    <n v="3625"/>
    <s v="September"/>
  </r>
  <r>
    <x v="2"/>
    <s v="Maria"/>
    <n v="1189833"/>
    <d v="2022-08-15T00:00:00"/>
    <d v="2022-09-14T00:00:00"/>
    <s v="West"/>
    <s v="California"/>
    <x v="3"/>
    <n v="0.5"/>
    <n v="6750"/>
    <n v="30"/>
    <n v="3375"/>
    <s v="September"/>
  </r>
  <r>
    <x v="2"/>
    <s v="Maria"/>
    <n v="1189833"/>
    <d v="2022-08-15T00:00:00"/>
    <d v="2022-09-14T00:00:00"/>
    <s v="West"/>
    <s v="California"/>
    <x v="4"/>
    <n v="0.6"/>
    <n v="6750"/>
    <n v="30"/>
    <n v="4050"/>
    <s v="September"/>
  </r>
  <r>
    <x v="2"/>
    <s v="Maria"/>
    <n v="1189833"/>
    <d v="2022-08-15T00:00:00"/>
    <d v="2022-09-14T00:00:00"/>
    <s v="West"/>
    <s v="California"/>
    <x v="5"/>
    <n v="0.65"/>
    <n v="6500"/>
    <n v="30"/>
    <n v="4225"/>
    <s v="September"/>
  </r>
  <r>
    <x v="2"/>
    <s v="Maria"/>
    <n v="1189833"/>
    <d v="2022-09-16T00:00:00"/>
    <d v="2022-10-16T00:00:00"/>
    <s v="West"/>
    <s v="California"/>
    <x v="0"/>
    <n v="0.5"/>
    <n v="8500"/>
    <n v="30"/>
    <n v="4250"/>
    <s v="October"/>
  </r>
  <r>
    <x v="2"/>
    <s v="Maria"/>
    <n v="1189833"/>
    <d v="2022-09-16T00:00:00"/>
    <d v="2022-10-16T00:00:00"/>
    <s v="West"/>
    <s v="California"/>
    <x v="1"/>
    <n v="0.55000000000000004"/>
    <n v="8500"/>
    <n v="30"/>
    <n v="4675"/>
    <s v="October"/>
  </r>
  <r>
    <x v="2"/>
    <s v="Maria"/>
    <n v="1189833"/>
    <d v="2022-09-16T00:00:00"/>
    <d v="2022-10-16T00:00:00"/>
    <s v="West"/>
    <s v="California"/>
    <x v="2"/>
    <n v="0.5"/>
    <n v="7000"/>
    <n v="30"/>
    <n v="3500"/>
    <s v="October"/>
  </r>
  <r>
    <x v="2"/>
    <s v="Maria"/>
    <n v="1189833"/>
    <d v="2022-09-16T00:00:00"/>
    <d v="2022-10-16T00:00:00"/>
    <s v="West"/>
    <s v="California"/>
    <x v="3"/>
    <n v="0.5"/>
    <n v="6500"/>
    <n v="30"/>
    <n v="3250"/>
    <s v="October"/>
  </r>
  <r>
    <x v="2"/>
    <s v="Maria"/>
    <n v="1189833"/>
    <d v="2022-09-16T00:00:00"/>
    <d v="2022-10-16T00:00:00"/>
    <s v="West"/>
    <s v="California"/>
    <x v="4"/>
    <n v="0.6"/>
    <n v="6500"/>
    <n v="30"/>
    <n v="3900"/>
    <s v="October"/>
  </r>
  <r>
    <x v="2"/>
    <s v="Maria"/>
    <n v="1189833"/>
    <d v="2022-09-16T00:00:00"/>
    <d v="2022-10-16T00:00:00"/>
    <s v="West"/>
    <s v="California"/>
    <x v="5"/>
    <n v="0.65"/>
    <n v="7000"/>
    <n v="30"/>
    <n v="4550"/>
    <s v="October"/>
  </r>
  <r>
    <x v="2"/>
    <s v="Maria"/>
    <n v="1189833"/>
    <d v="2022-10-15T00:00:00"/>
    <d v="2022-11-14T00:00:00"/>
    <s v="West"/>
    <s v="California"/>
    <x v="0"/>
    <n v="0.5"/>
    <n v="8000"/>
    <n v="30"/>
    <n v="4000"/>
    <s v="November"/>
  </r>
  <r>
    <x v="2"/>
    <s v="Maria"/>
    <n v="1189833"/>
    <d v="2022-10-15T00:00:00"/>
    <d v="2022-11-14T00:00:00"/>
    <s v="West"/>
    <s v="California"/>
    <x v="1"/>
    <n v="0.55000000000000004"/>
    <n v="8000"/>
    <n v="30"/>
    <n v="4400"/>
    <s v="November"/>
  </r>
  <r>
    <x v="2"/>
    <s v="Maria"/>
    <n v="1189833"/>
    <d v="2022-10-15T00:00:00"/>
    <d v="2022-11-14T00:00:00"/>
    <s v="West"/>
    <s v="California"/>
    <x v="2"/>
    <n v="0.5"/>
    <n v="6500"/>
    <n v="30"/>
    <n v="3250"/>
    <s v="November"/>
  </r>
  <r>
    <x v="2"/>
    <s v="Maria"/>
    <n v="1189833"/>
    <d v="2022-10-15T00:00:00"/>
    <d v="2022-11-14T00:00:00"/>
    <s v="West"/>
    <s v="California"/>
    <x v="3"/>
    <n v="0.5"/>
    <n v="6250"/>
    <n v="30"/>
    <n v="3125"/>
    <s v="November"/>
  </r>
  <r>
    <x v="2"/>
    <s v="Maria"/>
    <n v="1189833"/>
    <d v="2022-10-15T00:00:00"/>
    <d v="2022-11-14T00:00:00"/>
    <s v="West"/>
    <s v="California"/>
    <x v="4"/>
    <n v="0.6"/>
    <n v="6000"/>
    <n v="30"/>
    <n v="3600"/>
    <s v="November"/>
  </r>
  <r>
    <x v="2"/>
    <s v="Maria"/>
    <n v="1189833"/>
    <d v="2022-10-15T00:00:00"/>
    <d v="2022-11-14T00:00:00"/>
    <s v="West"/>
    <s v="California"/>
    <x v="5"/>
    <n v="0.65"/>
    <n v="6500"/>
    <n v="30"/>
    <n v="4225"/>
    <s v="November"/>
  </r>
  <r>
    <x v="2"/>
    <s v="Maria"/>
    <n v="1189833"/>
    <d v="2022-11-15T00:00:00"/>
    <d v="2022-12-15T00:00:00"/>
    <s v="West"/>
    <s v="California"/>
    <x v="0"/>
    <n v="0.5"/>
    <n v="8250"/>
    <n v="30"/>
    <n v="4125"/>
    <s v="December"/>
  </r>
  <r>
    <x v="2"/>
    <s v="Maria"/>
    <n v="1189833"/>
    <d v="2022-11-15T00:00:00"/>
    <d v="2022-12-15T00:00:00"/>
    <s v="West"/>
    <s v="California"/>
    <x v="1"/>
    <n v="0.55000000000000004"/>
    <n v="8250"/>
    <n v="30"/>
    <n v="4537.5"/>
    <s v="December"/>
  </r>
  <r>
    <x v="2"/>
    <s v="Maria"/>
    <n v="1189833"/>
    <d v="2022-11-15T00:00:00"/>
    <d v="2022-12-15T00:00:00"/>
    <s v="West"/>
    <s v="California"/>
    <x v="2"/>
    <n v="0.5"/>
    <n v="6750"/>
    <n v="30"/>
    <n v="3375"/>
    <s v="December"/>
  </r>
  <r>
    <x v="2"/>
    <s v="Maria"/>
    <n v="1189833"/>
    <d v="2022-11-15T00:00:00"/>
    <d v="2022-12-15T00:00:00"/>
    <s v="West"/>
    <s v="California"/>
    <x v="3"/>
    <n v="0.5"/>
    <n v="6500"/>
    <n v="30"/>
    <n v="3250"/>
    <s v="December"/>
  </r>
  <r>
    <x v="2"/>
    <s v="Maria"/>
    <n v="1189833"/>
    <d v="2022-11-15T00:00:00"/>
    <d v="2022-12-15T00:00:00"/>
    <s v="West"/>
    <s v="California"/>
    <x v="4"/>
    <n v="0.6"/>
    <n v="6000"/>
    <n v="30"/>
    <n v="3600"/>
    <s v="December"/>
  </r>
  <r>
    <x v="2"/>
    <s v="Maria"/>
    <n v="1189833"/>
    <d v="2022-11-15T00:00:00"/>
    <d v="2022-12-15T00:00:00"/>
    <s v="West"/>
    <s v="California"/>
    <x v="5"/>
    <n v="0.65"/>
    <n v="7000"/>
    <n v="30"/>
    <n v="4550"/>
    <s v="December"/>
  </r>
  <r>
    <x v="2"/>
    <s v="Maria"/>
    <n v="1189833"/>
    <d v="2022-12-14T00:00:00"/>
    <d v="2023-01-13T00:00:00"/>
    <s v="West"/>
    <s v="California"/>
    <x v="0"/>
    <n v="0.5"/>
    <n v="9000"/>
    <n v="30"/>
    <n v="4500"/>
    <s v="January"/>
  </r>
  <r>
    <x v="2"/>
    <s v="Maria"/>
    <n v="1189833"/>
    <d v="2022-12-14T00:00:00"/>
    <d v="2023-01-13T00:00:00"/>
    <s v="West"/>
    <s v="California"/>
    <x v="1"/>
    <n v="0.55000000000000004"/>
    <n v="9000"/>
    <n v="30"/>
    <n v="4950"/>
    <s v="January"/>
  </r>
  <r>
    <x v="2"/>
    <s v="Maria"/>
    <n v="1189833"/>
    <d v="2022-12-14T00:00:00"/>
    <d v="2023-01-13T00:00:00"/>
    <s v="West"/>
    <s v="California"/>
    <x v="2"/>
    <n v="0.5"/>
    <n v="7000"/>
    <n v="30"/>
    <n v="3500"/>
    <s v="January"/>
  </r>
  <r>
    <x v="2"/>
    <s v="Maria"/>
    <n v="1189833"/>
    <d v="2022-12-14T00:00:00"/>
    <d v="2023-01-13T00:00:00"/>
    <s v="West"/>
    <s v="California"/>
    <x v="3"/>
    <n v="0.5"/>
    <n v="7000"/>
    <n v="30"/>
    <n v="3500"/>
    <s v="January"/>
  </r>
  <r>
    <x v="2"/>
    <s v="Maria"/>
    <n v="1189833"/>
    <d v="2022-12-14T00:00:00"/>
    <d v="2023-01-13T00:00:00"/>
    <s v="West"/>
    <s v="California"/>
    <x v="4"/>
    <n v="0.6"/>
    <n v="6250"/>
    <n v="30"/>
    <n v="3750"/>
    <s v="January"/>
  </r>
  <r>
    <x v="2"/>
    <s v="Maria"/>
    <n v="1189833"/>
    <d v="2022-12-14T00:00:00"/>
    <d v="2023-01-13T00:00:00"/>
    <s v="West"/>
    <s v="California"/>
    <x v="5"/>
    <n v="0.65"/>
    <n v="7250"/>
    <n v="30"/>
    <n v="4712.5"/>
    <s v="January"/>
  </r>
  <r>
    <x v="3"/>
    <s v="Allen"/>
    <n v="1185732"/>
    <d v="2022-01-14T00:00:00"/>
    <d v="2022-02-13T00:00:00"/>
    <s v="Northeast"/>
    <s v="New York"/>
    <x v="0"/>
    <n v="0.5"/>
    <n v="12000"/>
    <n v="30"/>
    <n v="6000"/>
    <s v="February"/>
  </r>
  <r>
    <x v="3"/>
    <s v="Allen"/>
    <n v="1185732"/>
    <d v="2022-01-14T00:00:00"/>
    <d v="2022-02-13T00:00:00"/>
    <s v="Northeast"/>
    <s v="New York"/>
    <x v="1"/>
    <n v="0.5"/>
    <n v="10000"/>
    <n v="30"/>
    <n v="5000"/>
    <s v="February"/>
  </r>
  <r>
    <x v="3"/>
    <s v="Allen"/>
    <n v="1185732"/>
    <d v="2022-01-14T00:00:00"/>
    <d v="2022-02-13T00:00:00"/>
    <s v="Northeast"/>
    <s v="New York"/>
    <x v="2"/>
    <n v="0.4"/>
    <n v="10000"/>
    <n v="30"/>
    <n v="4000"/>
    <s v="February"/>
  </r>
  <r>
    <x v="3"/>
    <s v="Allen"/>
    <n v="1185732"/>
    <d v="2022-01-14T00:00:00"/>
    <d v="2022-02-13T00:00:00"/>
    <s v="Northeast"/>
    <s v="New York"/>
    <x v="3"/>
    <n v="0.45"/>
    <n v="8500"/>
    <n v="30"/>
    <n v="3825"/>
    <s v="February"/>
  </r>
  <r>
    <x v="3"/>
    <s v="Allen"/>
    <n v="1185732"/>
    <d v="2022-01-14T00:00:00"/>
    <d v="2022-02-13T00:00:00"/>
    <s v="Northeast"/>
    <s v="New York"/>
    <x v="4"/>
    <n v="0.6"/>
    <n v="9000"/>
    <n v="30"/>
    <n v="5400"/>
    <s v="February"/>
  </r>
  <r>
    <x v="3"/>
    <s v="Allen"/>
    <n v="1185732"/>
    <d v="2022-01-14T00:00:00"/>
    <d v="2022-02-28T00:00:00"/>
    <s v="Northeast"/>
    <s v="New York"/>
    <x v="5"/>
    <n v="0.5"/>
    <n v="10000"/>
    <n v="45"/>
    <n v="5000"/>
    <s v="February"/>
  </r>
  <r>
    <x v="3"/>
    <s v="Allen"/>
    <n v="1185732"/>
    <d v="2022-02-12T00:00:00"/>
    <d v="2022-03-14T00:00:00"/>
    <s v="Northeast"/>
    <s v="New York"/>
    <x v="0"/>
    <n v="0.5"/>
    <n v="12500"/>
    <n v="30"/>
    <n v="6250"/>
    <s v="March"/>
  </r>
  <r>
    <x v="3"/>
    <s v="Allen"/>
    <n v="1185732"/>
    <d v="2022-02-12T00:00:00"/>
    <d v="2022-03-14T00:00:00"/>
    <s v="Northeast"/>
    <s v="New York"/>
    <x v="1"/>
    <n v="0.5"/>
    <n v="9000"/>
    <n v="30"/>
    <n v="4500"/>
    <s v="March"/>
  </r>
  <r>
    <x v="3"/>
    <s v="Allen"/>
    <n v="1185732"/>
    <d v="2022-02-12T00:00:00"/>
    <d v="2022-03-14T00:00:00"/>
    <s v="Northeast"/>
    <s v="New York"/>
    <x v="2"/>
    <n v="0.4"/>
    <n v="9500"/>
    <n v="30"/>
    <n v="3800"/>
    <s v="March"/>
  </r>
  <r>
    <x v="3"/>
    <s v="Allen"/>
    <n v="1185732"/>
    <d v="2022-02-12T00:00:00"/>
    <d v="2022-03-14T00:00:00"/>
    <s v="Northeast"/>
    <s v="New York"/>
    <x v="3"/>
    <n v="0.45"/>
    <n v="8250"/>
    <n v="30"/>
    <n v="3712.5"/>
    <s v="March"/>
  </r>
  <r>
    <x v="3"/>
    <s v="Allen"/>
    <n v="1185732"/>
    <d v="2022-02-12T00:00:00"/>
    <d v="2022-03-29T00:00:00"/>
    <s v="Northeast"/>
    <s v="New York"/>
    <x v="4"/>
    <n v="0.6"/>
    <n v="9000"/>
    <n v="45"/>
    <n v="5400"/>
    <s v="March"/>
  </r>
  <r>
    <x v="3"/>
    <s v="Allen"/>
    <n v="1185732"/>
    <d v="2022-02-12T00:00:00"/>
    <d v="2022-03-14T00:00:00"/>
    <s v="Northeast"/>
    <s v="New York"/>
    <x v="5"/>
    <n v="0.5"/>
    <n v="10000"/>
    <n v="30"/>
    <n v="5000"/>
    <s v="March"/>
  </r>
  <r>
    <x v="3"/>
    <s v="Allen"/>
    <n v="1185732"/>
    <d v="2022-03-10T00:00:00"/>
    <d v="2022-04-09T00:00:00"/>
    <s v="Northeast"/>
    <s v="New York"/>
    <x v="0"/>
    <n v="0.5"/>
    <n v="12200"/>
    <n v="30"/>
    <n v="6100"/>
    <s v="April"/>
  </r>
  <r>
    <x v="3"/>
    <s v="Allen"/>
    <n v="1185732"/>
    <d v="2022-03-10T00:00:00"/>
    <d v="2022-04-09T00:00:00"/>
    <s v="Northeast"/>
    <s v="New York"/>
    <x v="1"/>
    <n v="0.5"/>
    <n v="9250"/>
    <n v="30"/>
    <n v="4625"/>
    <s v="April"/>
  </r>
  <r>
    <x v="3"/>
    <s v="Allen"/>
    <n v="1185732"/>
    <d v="2022-03-10T00:00:00"/>
    <d v="2022-04-24T00:00:00"/>
    <s v="Northeast"/>
    <s v="New York"/>
    <x v="2"/>
    <n v="0.4"/>
    <n v="9500"/>
    <n v="45"/>
    <n v="3800"/>
    <s v="April"/>
  </r>
  <r>
    <x v="3"/>
    <s v="Allen"/>
    <n v="1185732"/>
    <d v="2022-03-10T00:00:00"/>
    <d v="2022-04-09T00:00:00"/>
    <s v="Northeast"/>
    <s v="New York"/>
    <x v="3"/>
    <n v="0.45"/>
    <n v="8000"/>
    <n v="30"/>
    <n v="3600"/>
    <s v="April"/>
  </r>
  <r>
    <x v="3"/>
    <s v="Allen"/>
    <n v="1185732"/>
    <d v="2022-03-10T00:00:00"/>
    <d v="2022-04-09T00:00:00"/>
    <s v="Northeast"/>
    <s v="New York"/>
    <x v="4"/>
    <n v="0.6"/>
    <n v="8500"/>
    <n v="30"/>
    <n v="5100"/>
    <s v="April"/>
  </r>
  <r>
    <x v="3"/>
    <s v="Allen"/>
    <n v="1185732"/>
    <d v="2022-03-10T00:00:00"/>
    <d v="2022-04-09T00:00:00"/>
    <s v="Northeast"/>
    <s v="New York"/>
    <x v="5"/>
    <n v="0.5"/>
    <n v="9500"/>
    <n v="30"/>
    <n v="4750"/>
    <s v="April"/>
  </r>
  <r>
    <x v="3"/>
    <s v="Allen"/>
    <n v="1185732"/>
    <d v="2022-04-11T00:00:00"/>
    <d v="2022-05-11T00:00:00"/>
    <s v="Northeast"/>
    <s v="New York"/>
    <x v="0"/>
    <n v="0.5"/>
    <n v="12000"/>
    <n v="30"/>
    <n v="6000"/>
    <s v="May"/>
  </r>
  <r>
    <x v="3"/>
    <s v="Allen"/>
    <n v="1185732"/>
    <d v="2022-04-11T00:00:00"/>
    <d v="2022-05-11T00:00:00"/>
    <s v="Northeast"/>
    <s v="New York"/>
    <x v="1"/>
    <n v="0.5"/>
    <n v="9000"/>
    <n v="30"/>
    <n v="4500"/>
    <s v="May"/>
  </r>
  <r>
    <x v="3"/>
    <s v="Allen"/>
    <n v="1185732"/>
    <d v="2022-04-11T00:00:00"/>
    <d v="2022-05-11T00:00:00"/>
    <s v="Northeast"/>
    <s v="New York"/>
    <x v="2"/>
    <n v="0.4"/>
    <n v="9000"/>
    <n v="30"/>
    <n v="3600"/>
    <s v="May"/>
  </r>
  <r>
    <x v="3"/>
    <s v="Allen"/>
    <n v="1185732"/>
    <d v="2022-04-11T00:00:00"/>
    <d v="2022-05-11T00:00:00"/>
    <s v="Northeast"/>
    <s v="New York"/>
    <x v="3"/>
    <n v="0.45"/>
    <n v="8250"/>
    <n v="30"/>
    <n v="3712.5"/>
    <s v="May"/>
  </r>
  <r>
    <x v="3"/>
    <s v="Allen"/>
    <n v="1185732"/>
    <d v="2022-04-11T00:00:00"/>
    <d v="2022-05-11T00:00:00"/>
    <s v="Northeast"/>
    <s v="New York"/>
    <x v="4"/>
    <n v="0.6"/>
    <n v="8250"/>
    <n v="30"/>
    <n v="4950"/>
    <s v="May"/>
  </r>
  <r>
    <x v="3"/>
    <s v="Allen"/>
    <n v="1185732"/>
    <d v="2022-04-11T00:00:00"/>
    <d v="2022-05-11T00:00:00"/>
    <s v="Northeast"/>
    <s v="New York"/>
    <x v="5"/>
    <n v="0.5"/>
    <n v="9500"/>
    <n v="30"/>
    <n v="4750"/>
    <s v="May"/>
  </r>
  <r>
    <x v="3"/>
    <s v="Allen"/>
    <n v="1185732"/>
    <d v="2022-05-10T00:00:00"/>
    <d v="2022-06-09T00:00:00"/>
    <s v="Northeast"/>
    <s v="New York"/>
    <x v="0"/>
    <n v="0.6"/>
    <n v="12200"/>
    <n v="30"/>
    <n v="7320"/>
    <s v="June"/>
  </r>
  <r>
    <x v="3"/>
    <s v="Allen"/>
    <n v="1185732"/>
    <d v="2022-05-10T00:00:00"/>
    <d v="2022-06-09T00:00:00"/>
    <s v="Northeast"/>
    <s v="New York"/>
    <x v="1"/>
    <n v="0.55000000000000004"/>
    <n v="9250"/>
    <n v="30"/>
    <n v="5087.5"/>
    <s v="June"/>
  </r>
  <r>
    <x v="3"/>
    <s v="Allen"/>
    <n v="1185732"/>
    <d v="2022-05-10T00:00:00"/>
    <d v="2022-06-09T00:00:00"/>
    <s v="Northeast"/>
    <s v="New York"/>
    <x v="2"/>
    <n v="0.5"/>
    <n v="9000"/>
    <n v="30"/>
    <n v="4500"/>
    <s v="June"/>
  </r>
  <r>
    <x v="3"/>
    <s v="Allen"/>
    <n v="1185732"/>
    <d v="2022-05-10T00:00:00"/>
    <d v="2022-06-09T00:00:00"/>
    <s v="Northeast"/>
    <s v="New York"/>
    <x v="3"/>
    <n v="0.5"/>
    <n v="8500"/>
    <n v="30"/>
    <n v="4250"/>
    <s v="June"/>
  </r>
  <r>
    <x v="3"/>
    <s v="Allen"/>
    <n v="1185732"/>
    <d v="2022-05-10T00:00:00"/>
    <d v="2022-06-09T00:00:00"/>
    <s v="Northeast"/>
    <s v="New York"/>
    <x v="4"/>
    <n v="0.6"/>
    <n v="8750"/>
    <n v="30"/>
    <n v="5250"/>
    <s v="June"/>
  </r>
  <r>
    <x v="3"/>
    <s v="Allen"/>
    <n v="1185732"/>
    <d v="2022-05-10T00:00:00"/>
    <d v="2022-06-09T00:00:00"/>
    <s v="Northeast"/>
    <s v="New York"/>
    <x v="5"/>
    <n v="0.65"/>
    <n v="10000"/>
    <n v="30"/>
    <n v="6500"/>
    <s v="June"/>
  </r>
  <r>
    <x v="3"/>
    <s v="Allen"/>
    <n v="1185732"/>
    <d v="2022-06-12T00:00:00"/>
    <d v="2022-07-12T00:00:00"/>
    <s v="Northeast"/>
    <s v="New York"/>
    <x v="0"/>
    <n v="0.6"/>
    <n v="12500"/>
    <n v="30"/>
    <n v="7500"/>
    <s v="July"/>
  </r>
  <r>
    <x v="3"/>
    <s v="Allen"/>
    <n v="1185732"/>
    <d v="2022-06-12T00:00:00"/>
    <d v="2022-07-12T00:00:00"/>
    <s v="Northeast"/>
    <s v="New York"/>
    <x v="1"/>
    <n v="0.55000000000000004"/>
    <n v="10000"/>
    <n v="30"/>
    <n v="5500"/>
    <s v="July"/>
  </r>
  <r>
    <x v="3"/>
    <s v="Allen"/>
    <n v="1185732"/>
    <d v="2022-06-12T00:00:00"/>
    <d v="2022-07-12T00:00:00"/>
    <s v="Northeast"/>
    <s v="New York"/>
    <x v="2"/>
    <n v="0.5"/>
    <n v="9250"/>
    <n v="30"/>
    <n v="4625"/>
    <s v="July"/>
  </r>
  <r>
    <x v="3"/>
    <s v="Allen"/>
    <n v="1185732"/>
    <d v="2022-06-12T00:00:00"/>
    <d v="2022-07-12T00:00:00"/>
    <s v="Northeast"/>
    <s v="New York"/>
    <x v="3"/>
    <n v="0.5"/>
    <n v="9000"/>
    <n v="30"/>
    <n v="4500"/>
    <s v="July"/>
  </r>
  <r>
    <x v="3"/>
    <s v="Allen"/>
    <n v="1185732"/>
    <d v="2022-06-12T00:00:00"/>
    <d v="2022-07-12T00:00:00"/>
    <s v="Northeast"/>
    <s v="New York"/>
    <x v="4"/>
    <n v="0.6"/>
    <n v="9000"/>
    <n v="30"/>
    <n v="5400"/>
    <s v="July"/>
  </r>
  <r>
    <x v="3"/>
    <s v="Allen"/>
    <n v="1185732"/>
    <d v="2022-06-12T00:00:00"/>
    <d v="2022-07-12T00:00:00"/>
    <s v="Northeast"/>
    <s v="New York"/>
    <x v="5"/>
    <n v="0.65"/>
    <n v="10500"/>
    <n v="30"/>
    <n v="6825"/>
    <s v="July"/>
  </r>
  <r>
    <x v="3"/>
    <s v="Allen"/>
    <n v="1185732"/>
    <d v="2022-07-10T00:00:00"/>
    <d v="2022-08-09T00:00:00"/>
    <s v="Northeast"/>
    <s v="New York"/>
    <x v="0"/>
    <n v="0.6"/>
    <n v="12750"/>
    <n v="30"/>
    <n v="7650"/>
    <s v="August"/>
  </r>
  <r>
    <x v="3"/>
    <s v="Allen"/>
    <n v="1185732"/>
    <d v="2022-07-10T00:00:00"/>
    <d v="2022-08-09T00:00:00"/>
    <s v="Northeast"/>
    <s v="New York"/>
    <x v="1"/>
    <n v="0.55000000000000004"/>
    <n v="10250"/>
    <n v="30"/>
    <n v="5637.5000000000009"/>
    <s v="August"/>
  </r>
  <r>
    <x v="3"/>
    <s v="Allen"/>
    <n v="1185732"/>
    <d v="2022-07-10T00:00:00"/>
    <d v="2022-08-09T00:00:00"/>
    <s v="Northeast"/>
    <s v="New York"/>
    <x v="2"/>
    <n v="0.5"/>
    <n v="9500"/>
    <n v="30"/>
    <n v="4750"/>
    <s v="August"/>
  </r>
  <r>
    <x v="3"/>
    <s v="Allen"/>
    <n v="1185732"/>
    <d v="2022-07-10T00:00:00"/>
    <d v="2022-08-09T00:00:00"/>
    <s v="Northeast"/>
    <s v="New York"/>
    <x v="3"/>
    <n v="0.5"/>
    <n v="9000"/>
    <n v="30"/>
    <n v="4500"/>
    <s v="August"/>
  </r>
  <r>
    <x v="3"/>
    <s v="Allen"/>
    <n v="1185732"/>
    <d v="2022-07-10T00:00:00"/>
    <d v="2022-08-09T00:00:00"/>
    <s v="Northeast"/>
    <s v="New York"/>
    <x v="4"/>
    <n v="0.6"/>
    <n v="9250"/>
    <n v="30"/>
    <n v="5550"/>
    <s v="August"/>
  </r>
  <r>
    <x v="3"/>
    <s v="Allen"/>
    <n v="1185732"/>
    <d v="2022-07-10T00:00:00"/>
    <d v="2022-08-09T00:00:00"/>
    <s v="Northeast"/>
    <s v="New York"/>
    <x v="5"/>
    <n v="0.65"/>
    <n v="11000"/>
    <n v="30"/>
    <n v="7150"/>
    <s v="August"/>
  </r>
  <r>
    <x v="3"/>
    <s v="Allen"/>
    <n v="1185732"/>
    <d v="2022-08-11T00:00:00"/>
    <d v="2022-09-10T00:00:00"/>
    <s v="Northeast"/>
    <s v="New York"/>
    <x v="0"/>
    <n v="0.6"/>
    <n v="12500"/>
    <n v="30"/>
    <n v="7500"/>
    <s v="September"/>
  </r>
  <r>
    <x v="3"/>
    <s v="Allen"/>
    <n v="1185732"/>
    <d v="2022-08-11T00:00:00"/>
    <d v="2022-09-10T00:00:00"/>
    <s v="Northeast"/>
    <s v="New York"/>
    <x v="1"/>
    <n v="0.55000000000000004"/>
    <n v="10250"/>
    <n v="30"/>
    <n v="5637.5000000000009"/>
    <s v="September"/>
  </r>
  <r>
    <x v="3"/>
    <s v="Allen"/>
    <n v="1185732"/>
    <d v="2022-08-11T00:00:00"/>
    <d v="2022-09-10T00:00:00"/>
    <s v="Northeast"/>
    <s v="New York"/>
    <x v="2"/>
    <n v="0.5"/>
    <n v="9500"/>
    <n v="30"/>
    <n v="4750"/>
    <s v="September"/>
  </r>
  <r>
    <x v="3"/>
    <s v="Allen"/>
    <n v="1185732"/>
    <d v="2022-08-11T00:00:00"/>
    <d v="2022-09-10T00:00:00"/>
    <s v="Northeast"/>
    <s v="New York"/>
    <x v="3"/>
    <n v="0.5"/>
    <n v="9250"/>
    <n v="30"/>
    <n v="4625"/>
    <s v="September"/>
  </r>
  <r>
    <x v="3"/>
    <s v="Allen"/>
    <n v="1185732"/>
    <d v="2022-08-11T00:00:00"/>
    <d v="2022-09-10T00:00:00"/>
    <s v="Northeast"/>
    <s v="New York"/>
    <x v="4"/>
    <n v="0.6"/>
    <n v="9000"/>
    <n v="30"/>
    <n v="5400"/>
    <s v="September"/>
  </r>
  <r>
    <x v="3"/>
    <s v="Allen"/>
    <n v="1185732"/>
    <d v="2022-08-11T00:00:00"/>
    <d v="2022-09-10T00:00:00"/>
    <s v="Northeast"/>
    <s v="New York"/>
    <x v="5"/>
    <n v="0.65"/>
    <n v="10750"/>
    <n v="30"/>
    <n v="6987.5"/>
    <s v="September"/>
  </r>
  <r>
    <x v="3"/>
    <s v="Allen"/>
    <n v="1185732"/>
    <d v="2022-09-10T00:00:00"/>
    <d v="2022-10-10T00:00:00"/>
    <s v="Northeast"/>
    <s v="New York"/>
    <x v="0"/>
    <n v="0.6"/>
    <n v="12000"/>
    <n v="30"/>
    <n v="7200"/>
    <s v="October"/>
  </r>
  <r>
    <x v="3"/>
    <s v="Allen"/>
    <n v="1185732"/>
    <d v="2022-09-10T00:00:00"/>
    <d v="2022-10-10T00:00:00"/>
    <s v="Northeast"/>
    <s v="New York"/>
    <x v="1"/>
    <n v="0.55000000000000004"/>
    <n v="10000"/>
    <n v="30"/>
    <n v="5500"/>
    <s v="October"/>
  </r>
  <r>
    <x v="3"/>
    <s v="Allen"/>
    <n v="1185732"/>
    <d v="2022-09-10T00:00:00"/>
    <d v="2022-10-10T00:00:00"/>
    <s v="Northeast"/>
    <s v="New York"/>
    <x v="2"/>
    <n v="0.5"/>
    <n v="9250"/>
    <n v="30"/>
    <n v="4625"/>
    <s v="October"/>
  </r>
  <r>
    <x v="3"/>
    <s v="Allen"/>
    <n v="1185732"/>
    <d v="2022-09-10T00:00:00"/>
    <d v="2022-10-10T00:00:00"/>
    <s v="Northeast"/>
    <s v="New York"/>
    <x v="3"/>
    <n v="0.5"/>
    <n v="9000"/>
    <n v="30"/>
    <n v="4500"/>
    <s v="October"/>
  </r>
  <r>
    <x v="3"/>
    <s v="Allen"/>
    <n v="1185732"/>
    <d v="2022-09-10T00:00:00"/>
    <d v="2022-10-10T00:00:00"/>
    <s v="Northeast"/>
    <s v="New York"/>
    <x v="4"/>
    <n v="0.6"/>
    <n v="9000"/>
    <n v="30"/>
    <n v="5400"/>
    <s v="October"/>
  </r>
  <r>
    <x v="3"/>
    <s v="Allen"/>
    <n v="1185732"/>
    <d v="2022-09-10T00:00:00"/>
    <d v="2022-10-10T00:00:00"/>
    <s v="Northeast"/>
    <s v="New York"/>
    <x v="5"/>
    <n v="0.65"/>
    <n v="10000"/>
    <n v="30"/>
    <n v="6500"/>
    <s v="October"/>
  </r>
  <r>
    <x v="3"/>
    <s v="Allen"/>
    <n v="1185732"/>
    <d v="2022-10-12T00:00:00"/>
    <d v="2022-11-11T00:00:00"/>
    <s v="Northeast"/>
    <s v="New York"/>
    <x v="0"/>
    <n v="0.65"/>
    <n v="11750"/>
    <n v="30"/>
    <n v="7637.5"/>
    <s v="November"/>
  </r>
  <r>
    <x v="3"/>
    <s v="Allen"/>
    <n v="1185732"/>
    <d v="2022-10-12T00:00:00"/>
    <d v="2022-11-11T00:00:00"/>
    <s v="Northeast"/>
    <s v="New York"/>
    <x v="1"/>
    <n v="0.55000000000000004"/>
    <n v="10000"/>
    <n v="30"/>
    <n v="5500"/>
    <s v="November"/>
  </r>
  <r>
    <x v="3"/>
    <s v="Allen"/>
    <n v="1185732"/>
    <d v="2022-10-12T00:00:00"/>
    <d v="2022-11-11T00:00:00"/>
    <s v="Northeast"/>
    <s v="New York"/>
    <x v="2"/>
    <n v="0.55000000000000004"/>
    <n v="9000"/>
    <n v="30"/>
    <n v="4950"/>
    <s v="November"/>
  </r>
  <r>
    <x v="3"/>
    <s v="Allen"/>
    <n v="1185732"/>
    <d v="2022-10-12T00:00:00"/>
    <d v="2022-11-11T00:00:00"/>
    <s v="Northeast"/>
    <s v="New York"/>
    <x v="3"/>
    <n v="0.55000000000000004"/>
    <n v="8750"/>
    <n v="30"/>
    <n v="4812.5"/>
    <s v="November"/>
  </r>
  <r>
    <x v="3"/>
    <s v="Allen"/>
    <n v="1185732"/>
    <d v="2022-10-12T00:00:00"/>
    <d v="2022-11-11T00:00:00"/>
    <s v="Northeast"/>
    <s v="New York"/>
    <x v="4"/>
    <n v="0.65"/>
    <n v="8750"/>
    <n v="30"/>
    <n v="5687.5"/>
    <s v="November"/>
  </r>
  <r>
    <x v="3"/>
    <s v="Allen"/>
    <n v="1185732"/>
    <d v="2022-10-12T00:00:00"/>
    <d v="2022-11-11T00:00:00"/>
    <s v="Northeast"/>
    <s v="New York"/>
    <x v="5"/>
    <n v="0.7"/>
    <n v="10000"/>
    <n v="30"/>
    <n v="7000"/>
    <s v="November"/>
  </r>
  <r>
    <x v="3"/>
    <s v="Allen"/>
    <n v="1185732"/>
    <d v="2022-11-11T00:00:00"/>
    <d v="2022-12-11T00:00:00"/>
    <s v="Northeast"/>
    <s v="New York"/>
    <x v="0"/>
    <n v="0.65"/>
    <n v="11500"/>
    <n v="30"/>
    <n v="7475"/>
    <s v="December"/>
  </r>
  <r>
    <x v="3"/>
    <s v="Allen"/>
    <n v="1185732"/>
    <d v="2022-11-11T00:00:00"/>
    <d v="2022-12-11T00:00:00"/>
    <s v="Northeast"/>
    <s v="New York"/>
    <x v="1"/>
    <n v="0.55000000000000004"/>
    <n v="9750"/>
    <n v="30"/>
    <n v="5362.5"/>
    <s v="December"/>
  </r>
  <r>
    <x v="3"/>
    <s v="Allen"/>
    <n v="1185732"/>
    <d v="2022-11-11T00:00:00"/>
    <d v="2022-12-11T00:00:00"/>
    <s v="Northeast"/>
    <s v="New York"/>
    <x v="2"/>
    <n v="0.55000000000000004"/>
    <n v="9200"/>
    <n v="30"/>
    <n v="5060"/>
    <s v="December"/>
  </r>
  <r>
    <x v="3"/>
    <s v="Allen"/>
    <n v="1185732"/>
    <d v="2022-11-11T00:00:00"/>
    <d v="2022-12-11T00:00:00"/>
    <s v="Northeast"/>
    <s v="New York"/>
    <x v="3"/>
    <n v="0.55000000000000004"/>
    <n v="9000"/>
    <n v="30"/>
    <n v="4950"/>
    <s v="December"/>
  </r>
  <r>
    <x v="3"/>
    <s v="Allen"/>
    <n v="1185732"/>
    <d v="2022-11-11T00:00:00"/>
    <d v="2022-12-11T00:00:00"/>
    <s v="Northeast"/>
    <s v="New York"/>
    <x v="4"/>
    <n v="0.65"/>
    <n v="8750"/>
    <n v="30"/>
    <n v="5687.5"/>
    <s v="December"/>
  </r>
  <r>
    <x v="3"/>
    <s v="Allen"/>
    <n v="1185732"/>
    <d v="2022-11-11T00:00:00"/>
    <d v="2022-12-11T00:00:00"/>
    <s v="Northeast"/>
    <s v="New York"/>
    <x v="5"/>
    <n v="0.7"/>
    <n v="9750"/>
    <n v="30"/>
    <n v="6825"/>
    <s v="December"/>
  </r>
  <r>
    <x v="3"/>
    <s v="Allen"/>
    <n v="1185732"/>
    <d v="2022-12-10T00:00:00"/>
    <d v="2023-01-09T00:00:00"/>
    <s v="Northeast"/>
    <s v="New York"/>
    <x v="0"/>
    <n v="0.65"/>
    <n v="12000"/>
    <n v="30"/>
    <n v="7800"/>
    <s v="January"/>
  </r>
  <r>
    <x v="3"/>
    <s v="Allen"/>
    <n v="1185732"/>
    <d v="2022-12-10T00:00:00"/>
    <d v="2023-01-09T00:00:00"/>
    <s v="Northeast"/>
    <s v="New York"/>
    <x v="1"/>
    <n v="0.55000000000000004"/>
    <n v="10000"/>
    <n v="30"/>
    <n v="5500"/>
    <s v="January"/>
  </r>
  <r>
    <x v="3"/>
    <s v="Allen"/>
    <n v="1185732"/>
    <d v="2022-12-10T00:00:00"/>
    <d v="2023-01-09T00:00:00"/>
    <s v="Northeast"/>
    <s v="New York"/>
    <x v="2"/>
    <n v="0.55000000000000004"/>
    <n v="9500"/>
    <n v="30"/>
    <n v="5225"/>
    <s v="January"/>
  </r>
  <r>
    <x v="3"/>
    <s v="Allen"/>
    <n v="1185732"/>
    <d v="2022-12-10T00:00:00"/>
    <d v="2023-01-09T00:00:00"/>
    <s v="Northeast"/>
    <s v="New York"/>
    <x v="3"/>
    <n v="0.55000000000000004"/>
    <n v="9000"/>
    <n v="30"/>
    <n v="4950"/>
    <s v="January"/>
  </r>
  <r>
    <x v="3"/>
    <s v="Allen"/>
    <n v="1185732"/>
    <d v="2022-12-10T00:00:00"/>
    <d v="2023-01-09T00:00:00"/>
    <s v="Northeast"/>
    <s v="New York"/>
    <x v="4"/>
    <n v="0.65"/>
    <n v="9000"/>
    <n v="30"/>
    <n v="5850"/>
    <s v="January"/>
  </r>
  <r>
    <x v="3"/>
    <s v="Allen"/>
    <n v="1185732"/>
    <d v="2022-12-10T00:00:00"/>
    <d v="2023-01-09T00:00:00"/>
    <s v="Northeast"/>
    <s v="New York"/>
    <x v="5"/>
    <n v="0.7"/>
    <n v="10000"/>
    <n v="30"/>
    <n v="7000"/>
    <s v="January"/>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8">
  <r>
    <x v="0"/>
    <s v="Ana"/>
    <n v="1128299"/>
    <d v="2022-01-20T00:00:00"/>
    <d v="2022-02-19T00:00:00"/>
    <s v="West"/>
    <x v="0"/>
    <x v="0"/>
    <n v="0.39999999999999997"/>
    <n v="7750"/>
    <n v="30"/>
    <n v="3099.9999999999995"/>
    <x v="0"/>
  </r>
  <r>
    <x v="0"/>
    <s v="Ana"/>
    <n v="1128299"/>
    <d v="2022-01-20T00:00:00"/>
    <d v="2022-03-26T00:00:00"/>
    <s v="West"/>
    <x v="0"/>
    <x v="1"/>
    <n v="0.5"/>
    <n v="7750"/>
    <n v="65"/>
    <n v="3875"/>
    <x v="1"/>
  </r>
  <r>
    <x v="0"/>
    <s v="Ana"/>
    <n v="1128299"/>
    <d v="2022-01-20T00:00:00"/>
    <d v="2022-03-26T00:00:00"/>
    <s v="West"/>
    <x v="0"/>
    <x v="2"/>
    <n v="0.5"/>
    <n v="7750"/>
    <n v="65"/>
    <n v="3875"/>
    <x v="1"/>
  </r>
  <r>
    <x v="0"/>
    <s v="Ana"/>
    <n v="1128299"/>
    <d v="2022-01-20T00:00:00"/>
    <d v="2022-02-26T00:00:00"/>
    <s v="West"/>
    <x v="0"/>
    <x v="3"/>
    <n v="0.5"/>
    <n v="6250"/>
    <n v="37"/>
    <n v="3125"/>
    <x v="0"/>
  </r>
  <r>
    <x v="0"/>
    <s v="Ana"/>
    <n v="1128299"/>
    <d v="2022-01-20T00:00:00"/>
    <d v="2022-02-19T00:00:00"/>
    <s v="West"/>
    <x v="0"/>
    <x v="4"/>
    <n v="0.55000000000000004"/>
    <n v="5750"/>
    <n v="30"/>
    <n v="3162.5000000000005"/>
    <x v="0"/>
  </r>
  <r>
    <x v="0"/>
    <s v="Ana"/>
    <n v="1128299"/>
    <d v="2022-01-20T00:00:00"/>
    <d v="2022-02-19T00:00:00"/>
    <s v="West"/>
    <x v="0"/>
    <x v="5"/>
    <n v="0.5"/>
    <n v="7750"/>
    <n v="30"/>
    <n v="3875"/>
    <x v="0"/>
  </r>
  <r>
    <x v="0"/>
    <s v="Ana"/>
    <n v="1128299"/>
    <d v="2022-02-20T00:00:00"/>
    <d v="2022-03-22T00:00:00"/>
    <s v="West"/>
    <x v="0"/>
    <x v="0"/>
    <n v="0.39999999999999997"/>
    <n v="8250"/>
    <n v="30"/>
    <n v="3299.9999999999995"/>
    <x v="1"/>
  </r>
  <r>
    <x v="0"/>
    <s v="Ana"/>
    <n v="1128299"/>
    <d v="2022-02-20T00:00:00"/>
    <d v="2022-03-22T00:00:00"/>
    <s v="West"/>
    <x v="0"/>
    <x v="1"/>
    <n v="0.5"/>
    <n v="7250"/>
    <n v="30"/>
    <n v="3625"/>
    <x v="1"/>
  </r>
  <r>
    <x v="0"/>
    <s v="Ana"/>
    <n v="1128299"/>
    <d v="2022-02-20T00:00:00"/>
    <d v="2022-03-22T00:00:00"/>
    <s v="West"/>
    <x v="0"/>
    <x v="2"/>
    <n v="0.5"/>
    <n v="7250"/>
    <n v="30"/>
    <n v="3625"/>
    <x v="1"/>
  </r>
  <r>
    <x v="0"/>
    <s v="Ana"/>
    <n v="1128299"/>
    <d v="2022-02-20T00:00:00"/>
    <d v="2022-03-22T00:00:00"/>
    <s v="West"/>
    <x v="0"/>
    <x v="3"/>
    <n v="0.5"/>
    <n v="5750"/>
    <n v="30"/>
    <n v="2875"/>
    <x v="1"/>
  </r>
  <r>
    <x v="0"/>
    <s v="Ana"/>
    <n v="1128299"/>
    <d v="2022-02-20T00:00:00"/>
    <d v="2022-03-25T00:00:00"/>
    <s v="West"/>
    <x v="0"/>
    <x v="4"/>
    <n v="0.55000000000000004"/>
    <n v="5000"/>
    <n v="33"/>
    <n v="2750"/>
    <x v="1"/>
  </r>
  <r>
    <x v="0"/>
    <s v="Ana"/>
    <n v="1128299"/>
    <d v="2022-02-20T00:00:00"/>
    <d v="2022-03-22T00:00:00"/>
    <s v="West"/>
    <x v="0"/>
    <x v="5"/>
    <n v="0.5"/>
    <n v="7000"/>
    <n v="30"/>
    <n v="3500"/>
    <x v="1"/>
  </r>
  <r>
    <x v="0"/>
    <s v="Ana"/>
    <n v="1128299"/>
    <d v="2022-03-19T00:00:00"/>
    <d v="2022-04-18T00:00:00"/>
    <s v="West"/>
    <x v="0"/>
    <x v="0"/>
    <n v="0.5"/>
    <n v="8500"/>
    <n v="30"/>
    <n v="4250"/>
    <x v="2"/>
  </r>
  <r>
    <x v="0"/>
    <s v="Ana"/>
    <n v="1128299"/>
    <d v="2022-03-19T00:00:00"/>
    <d v="2022-04-18T00:00:00"/>
    <s v="West"/>
    <x v="0"/>
    <x v="1"/>
    <n v="0.6"/>
    <n v="7000"/>
    <n v="30"/>
    <n v="4200"/>
    <x v="2"/>
  </r>
  <r>
    <x v="0"/>
    <s v="Ana"/>
    <n v="1128299"/>
    <d v="2022-03-19T00:00:00"/>
    <d v="2022-04-18T00:00:00"/>
    <s v="West"/>
    <x v="0"/>
    <x v="2"/>
    <n v="0.6"/>
    <n v="7000"/>
    <n v="30"/>
    <n v="4200"/>
    <x v="2"/>
  </r>
  <r>
    <x v="0"/>
    <s v="Ana"/>
    <n v="1128299"/>
    <d v="2022-03-19T00:00:00"/>
    <d v="2022-04-18T00:00:00"/>
    <s v="West"/>
    <x v="0"/>
    <x v="3"/>
    <n v="0.6"/>
    <n v="6000"/>
    <n v="30"/>
    <n v="3600"/>
    <x v="2"/>
  </r>
  <r>
    <x v="0"/>
    <s v="Ana"/>
    <n v="1128299"/>
    <d v="2022-03-19T00:00:00"/>
    <d v="2022-04-18T00:00:00"/>
    <s v="West"/>
    <x v="0"/>
    <x v="4"/>
    <n v="0.65"/>
    <n v="5000"/>
    <n v="30"/>
    <n v="3250"/>
    <x v="2"/>
  </r>
  <r>
    <x v="0"/>
    <s v="Ana"/>
    <n v="1128299"/>
    <d v="2022-03-19T00:00:00"/>
    <d v="2022-04-18T00:00:00"/>
    <s v="West"/>
    <x v="0"/>
    <x v="5"/>
    <n v="0.6"/>
    <n v="7000"/>
    <n v="30"/>
    <n v="4200"/>
    <x v="2"/>
  </r>
  <r>
    <x v="0"/>
    <s v="Ana"/>
    <n v="1128299"/>
    <d v="2022-04-20T00:00:00"/>
    <d v="2022-05-20T00:00:00"/>
    <s v="West"/>
    <x v="0"/>
    <x v="0"/>
    <n v="0.6"/>
    <n v="8750"/>
    <n v="30"/>
    <n v="5250"/>
    <x v="3"/>
  </r>
  <r>
    <x v="0"/>
    <s v="Ana"/>
    <n v="1128299"/>
    <d v="2022-04-20T00:00:00"/>
    <d v="2022-05-20T00:00:00"/>
    <s v="West"/>
    <x v="0"/>
    <x v="1"/>
    <n v="0.65"/>
    <n v="6750"/>
    <n v="30"/>
    <n v="4387.5"/>
    <x v="3"/>
  </r>
  <r>
    <x v="0"/>
    <s v="Ana"/>
    <n v="1128299"/>
    <d v="2022-04-20T00:00:00"/>
    <d v="2022-05-20T00:00:00"/>
    <s v="West"/>
    <x v="0"/>
    <x v="2"/>
    <n v="0.65"/>
    <n v="7250"/>
    <n v="30"/>
    <n v="4712.5"/>
    <x v="3"/>
  </r>
  <r>
    <x v="0"/>
    <s v="Ana"/>
    <n v="1128299"/>
    <d v="2022-04-20T00:00:00"/>
    <d v="2022-05-20T00:00:00"/>
    <s v="West"/>
    <x v="0"/>
    <x v="3"/>
    <n v="0.6"/>
    <n v="6250"/>
    <n v="30"/>
    <n v="3750"/>
    <x v="3"/>
  </r>
  <r>
    <x v="0"/>
    <s v="Ana"/>
    <n v="1128299"/>
    <d v="2022-04-20T00:00:00"/>
    <d v="2022-05-20T00:00:00"/>
    <s v="West"/>
    <x v="0"/>
    <x v="4"/>
    <n v="0.65"/>
    <n v="5250"/>
    <n v="30"/>
    <n v="3412.5"/>
    <x v="3"/>
  </r>
  <r>
    <x v="0"/>
    <s v="Ana"/>
    <n v="1128299"/>
    <d v="2022-04-20T00:00:00"/>
    <d v="2022-05-20T00:00:00"/>
    <s v="West"/>
    <x v="0"/>
    <x v="5"/>
    <n v="0.8"/>
    <n v="7000"/>
    <n v="30"/>
    <n v="5600"/>
    <x v="3"/>
  </r>
  <r>
    <x v="0"/>
    <s v="Ana"/>
    <n v="1128299"/>
    <d v="2022-05-21T00:00:00"/>
    <d v="2022-06-20T00:00:00"/>
    <s v="West"/>
    <x v="0"/>
    <x v="0"/>
    <n v="0.6"/>
    <n v="9000"/>
    <n v="30"/>
    <n v="5400"/>
    <x v="4"/>
  </r>
  <r>
    <x v="0"/>
    <s v="Ana"/>
    <n v="1128299"/>
    <d v="2022-05-21T00:00:00"/>
    <d v="2022-06-20T00:00:00"/>
    <s v="West"/>
    <x v="0"/>
    <x v="1"/>
    <n v="0.65"/>
    <n v="7500"/>
    <n v="30"/>
    <n v="4875"/>
    <x v="4"/>
  </r>
  <r>
    <x v="0"/>
    <s v="Ana"/>
    <n v="1128299"/>
    <d v="2022-05-21T00:00:00"/>
    <d v="2022-06-20T00:00:00"/>
    <s v="West"/>
    <x v="0"/>
    <x v="2"/>
    <n v="0.65"/>
    <n v="7500"/>
    <n v="30"/>
    <n v="4875"/>
    <x v="4"/>
  </r>
  <r>
    <x v="0"/>
    <s v="Ana"/>
    <n v="1128299"/>
    <d v="2022-05-21T00:00:00"/>
    <d v="2022-06-20T00:00:00"/>
    <s v="West"/>
    <x v="0"/>
    <x v="3"/>
    <n v="0.6"/>
    <n v="6500"/>
    <n v="30"/>
    <n v="3900"/>
    <x v="4"/>
  </r>
  <r>
    <x v="0"/>
    <s v="Ana"/>
    <n v="1128299"/>
    <d v="2022-05-21T00:00:00"/>
    <d v="2022-06-20T00:00:00"/>
    <s v="West"/>
    <x v="0"/>
    <x v="4"/>
    <n v="0.65"/>
    <n v="5500"/>
    <n v="30"/>
    <n v="3575"/>
    <x v="4"/>
  </r>
  <r>
    <x v="0"/>
    <s v="Ana"/>
    <n v="1128299"/>
    <d v="2022-05-21T00:00:00"/>
    <d v="2022-06-20T00:00:00"/>
    <s v="West"/>
    <x v="0"/>
    <x v="5"/>
    <n v="0.8"/>
    <n v="7250"/>
    <n v="30"/>
    <n v="5800"/>
    <x v="4"/>
  </r>
  <r>
    <x v="0"/>
    <s v="Ana"/>
    <n v="1128299"/>
    <d v="2022-06-20T00:00:00"/>
    <d v="2022-07-20T00:00:00"/>
    <s v="West"/>
    <x v="0"/>
    <x v="0"/>
    <n v="0.6"/>
    <n v="9750"/>
    <n v="30"/>
    <n v="5850"/>
    <x v="5"/>
  </r>
  <r>
    <x v="0"/>
    <s v="Ana"/>
    <n v="1128299"/>
    <d v="2022-06-20T00:00:00"/>
    <d v="2022-07-20T00:00:00"/>
    <s v="West"/>
    <x v="0"/>
    <x v="1"/>
    <n v="0.65"/>
    <n v="8250"/>
    <n v="30"/>
    <n v="5362.5"/>
    <x v="5"/>
  </r>
  <r>
    <x v="0"/>
    <s v="Ana"/>
    <n v="1128299"/>
    <d v="2022-06-20T00:00:00"/>
    <d v="2022-07-20T00:00:00"/>
    <s v="West"/>
    <x v="0"/>
    <x v="2"/>
    <n v="0.65"/>
    <n v="8250"/>
    <n v="30"/>
    <n v="5362.5"/>
    <x v="5"/>
  </r>
  <r>
    <x v="0"/>
    <s v="Ana"/>
    <n v="1128299"/>
    <d v="2022-06-20T00:00:00"/>
    <d v="2022-07-20T00:00:00"/>
    <s v="West"/>
    <x v="0"/>
    <x v="3"/>
    <n v="0.6"/>
    <n v="7000"/>
    <n v="30"/>
    <n v="4200"/>
    <x v="5"/>
  </r>
  <r>
    <x v="0"/>
    <s v="Ana"/>
    <n v="1128299"/>
    <d v="2022-06-20T00:00:00"/>
    <d v="2022-07-20T00:00:00"/>
    <s v="West"/>
    <x v="0"/>
    <x v="4"/>
    <n v="0.65"/>
    <n v="5750"/>
    <n v="30"/>
    <n v="3737.5"/>
    <x v="5"/>
  </r>
  <r>
    <x v="0"/>
    <s v="Ana"/>
    <n v="1128299"/>
    <d v="2022-06-20T00:00:00"/>
    <d v="2022-07-20T00:00:00"/>
    <s v="West"/>
    <x v="0"/>
    <x v="5"/>
    <n v="0.8"/>
    <n v="8750"/>
    <n v="30"/>
    <n v="7000"/>
    <x v="5"/>
  </r>
  <r>
    <x v="0"/>
    <s v="Ana"/>
    <n v="1128299"/>
    <d v="2022-07-19T00:00:00"/>
    <d v="2022-08-18T00:00:00"/>
    <s v="West"/>
    <x v="0"/>
    <x v="0"/>
    <n v="0.6"/>
    <n v="10250"/>
    <n v="30"/>
    <n v="6150"/>
    <x v="6"/>
  </r>
  <r>
    <x v="0"/>
    <s v="Ana"/>
    <n v="1128299"/>
    <d v="2022-07-19T00:00:00"/>
    <d v="2022-08-18T00:00:00"/>
    <s v="West"/>
    <x v="0"/>
    <x v="1"/>
    <n v="0.65"/>
    <n v="8750"/>
    <n v="30"/>
    <n v="5687.5"/>
    <x v="6"/>
  </r>
  <r>
    <x v="0"/>
    <s v="Ana"/>
    <n v="1128299"/>
    <d v="2022-07-19T00:00:00"/>
    <d v="2022-08-18T00:00:00"/>
    <s v="West"/>
    <x v="0"/>
    <x v="2"/>
    <n v="0.65"/>
    <n v="8250"/>
    <n v="30"/>
    <n v="5362.5"/>
    <x v="6"/>
  </r>
  <r>
    <x v="0"/>
    <s v="Ana"/>
    <n v="1128299"/>
    <d v="2022-07-19T00:00:00"/>
    <d v="2022-08-18T00:00:00"/>
    <s v="West"/>
    <x v="0"/>
    <x v="3"/>
    <n v="0.6"/>
    <n v="7250"/>
    <n v="30"/>
    <n v="4350"/>
    <x v="6"/>
  </r>
  <r>
    <x v="0"/>
    <s v="Ana"/>
    <n v="1128299"/>
    <d v="2022-07-19T00:00:00"/>
    <d v="2022-08-18T00:00:00"/>
    <s v="West"/>
    <x v="0"/>
    <x v="4"/>
    <n v="0.65"/>
    <n v="7750"/>
    <n v="30"/>
    <n v="5037.5"/>
    <x v="6"/>
  </r>
  <r>
    <x v="0"/>
    <s v="Ana"/>
    <n v="1128299"/>
    <d v="2022-07-19T00:00:00"/>
    <d v="2022-08-18T00:00:00"/>
    <s v="West"/>
    <x v="0"/>
    <x v="5"/>
    <n v="0.8"/>
    <n v="7750"/>
    <n v="30"/>
    <n v="6200"/>
    <x v="6"/>
  </r>
  <r>
    <x v="0"/>
    <s v="Ana"/>
    <n v="1128299"/>
    <d v="2022-08-20T00:00:00"/>
    <d v="2022-09-19T00:00:00"/>
    <s v="West"/>
    <x v="0"/>
    <x v="0"/>
    <n v="0.65"/>
    <n v="9750"/>
    <n v="30"/>
    <n v="6337.5"/>
    <x v="7"/>
  </r>
  <r>
    <x v="0"/>
    <s v="Ana"/>
    <n v="1128299"/>
    <d v="2022-08-20T00:00:00"/>
    <d v="2022-09-19T00:00:00"/>
    <s v="West"/>
    <x v="0"/>
    <x v="1"/>
    <n v="0.70000000000000007"/>
    <n v="9250"/>
    <n v="30"/>
    <n v="6475.0000000000009"/>
    <x v="7"/>
  </r>
  <r>
    <x v="0"/>
    <s v="Ana"/>
    <n v="1128299"/>
    <d v="2022-08-20T00:00:00"/>
    <d v="2022-09-19T00:00:00"/>
    <s v="West"/>
    <x v="0"/>
    <x v="2"/>
    <n v="0.65"/>
    <n v="8000"/>
    <n v="30"/>
    <n v="5200"/>
    <x v="7"/>
  </r>
  <r>
    <x v="0"/>
    <s v="Ana"/>
    <n v="1128299"/>
    <d v="2022-08-20T00:00:00"/>
    <d v="2022-09-19T00:00:00"/>
    <s v="West"/>
    <x v="0"/>
    <x v="3"/>
    <n v="0.65"/>
    <n v="7500"/>
    <n v="30"/>
    <n v="4875"/>
    <x v="7"/>
  </r>
  <r>
    <x v="0"/>
    <s v="Ana"/>
    <n v="1128299"/>
    <d v="2022-08-20T00:00:00"/>
    <d v="2022-09-19T00:00:00"/>
    <s v="West"/>
    <x v="0"/>
    <x v="4"/>
    <n v="0.75"/>
    <n v="7500"/>
    <n v="30"/>
    <n v="5625"/>
    <x v="7"/>
  </r>
  <r>
    <x v="0"/>
    <s v="Ana"/>
    <n v="1128299"/>
    <d v="2022-08-20T00:00:00"/>
    <d v="2022-09-19T00:00:00"/>
    <s v="West"/>
    <x v="0"/>
    <x v="5"/>
    <n v="0.8"/>
    <n v="7250"/>
    <n v="30"/>
    <n v="5800"/>
    <x v="7"/>
  </r>
  <r>
    <x v="0"/>
    <s v="Ana"/>
    <n v="1128299"/>
    <d v="2022-09-21T00:00:00"/>
    <d v="2022-10-21T00:00:00"/>
    <s v="West"/>
    <x v="0"/>
    <x v="0"/>
    <n v="0.55000000000000004"/>
    <n v="9250"/>
    <n v="30"/>
    <n v="5087.5"/>
    <x v="8"/>
  </r>
  <r>
    <x v="0"/>
    <s v="Ana"/>
    <n v="1128299"/>
    <d v="2022-09-21T00:00:00"/>
    <d v="2022-10-21T00:00:00"/>
    <s v="West"/>
    <x v="0"/>
    <x v="1"/>
    <n v="0.60000000000000009"/>
    <n v="9250"/>
    <n v="30"/>
    <n v="5550.0000000000009"/>
    <x v="8"/>
  </r>
  <r>
    <x v="0"/>
    <s v="Ana"/>
    <n v="1128299"/>
    <d v="2022-09-21T00:00:00"/>
    <d v="2022-10-21T00:00:00"/>
    <s v="West"/>
    <x v="0"/>
    <x v="2"/>
    <n v="0.55000000000000004"/>
    <n v="7750"/>
    <n v="30"/>
    <n v="4262.5"/>
    <x v="8"/>
  </r>
  <r>
    <x v="0"/>
    <s v="Ana"/>
    <n v="1128299"/>
    <d v="2022-09-21T00:00:00"/>
    <d v="2022-10-21T00:00:00"/>
    <s v="West"/>
    <x v="0"/>
    <x v="3"/>
    <n v="0.55000000000000004"/>
    <n v="7250"/>
    <n v="30"/>
    <n v="3987.5000000000005"/>
    <x v="8"/>
  </r>
  <r>
    <x v="0"/>
    <s v="Ana"/>
    <n v="1128299"/>
    <d v="2022-09-21T00:00:00"/>
    <d v="2022-10-21T00:00:00"/>
    <s v="West"/>
    <x v="0"/>
    <x v="4"/>
    <n v="0.65"/>
    <n v="7250"/>
    <n v="30"/>
    <n v="4712.5"/>
    <x v="8"/>
  </r>
  <r>
    <x v="0"/>
    <s v="Ana"/>
    <n v="1128299"/>
    <d v="2022-09-21T00:00:00"/>
    <d v="2022-10-21T00:00:00"/>
    <s v="West"/>
    <x v="0"/>
    <x v="5"/>
    <n v="0.70000000000000007"/>
    <n v="7750"/>
    <n v="30"/>
    <n v="5425.0000000000009"/>
    <x v="8"/>
  </r>
  <r>
    <x v="0"/>
    <s v="Ana"/>
    <n v="1128299"/>
    <d v="2022-10-20T00:00:00"/>
    <d v="2022-11-19T00:00:00"/>
    <s v="West"/>
    <x v="0"/>
    <x v="0"/>
    <n v="0.55000000000000004"/>
    <n v="8750"/>
    <n v="30"/>
    <n v="4812.5"/>
    <x v="9"/>
  </r>
  <r>
    <x v="0"/>
    <s v="Ana"/>
    <n v="1128299"/>
    <d v="2022-10-20T00:00:00"/>
    <d v="2022-11-19T00:00:00"/>
    <s v="West"/>
    <x v="0"/>
    <x v="1"/>
    <n v="0.60000000000000009"/>
    <n v="8750"/>
    <n v="30"/>
    <n v="5250.0000000000009"/>
    <x v="9"/>
  </r>
  <r>
    <x v="0"/>
    <s v="Ana"/>
    <n v="1128299"/>
    <d v="2022-10-20T00:00:00"/>
    <d v="2022-11-19T00:00:00"/>
    <s v="West"/>
    <x v="0"/>
    <x v="2"/>
    <n v="0.55000000000000004"/>
    <n v="7000"/>
    <n v="30"/>
    <n v="3850.0000000000005"/>
    <x v="9"/>
  </r>
  <r>
    <x v="0"/>
    <s v="Ana"/>
    <n v="1128299"/>
    <d v="2022-10-20T00:00:00"/>
    <d v="2022-11-19T00:00:00"/>
    <s v="West"/>
    <x v="0"/>
    <x v="3"/>
    <n v="0.55000000000000004"/>
    <n v="6750"/>
    <n v="30"/>
    <n v="3712.5000000000005"/>
    <x v="9"/>
  </r>
  <r>
    <x v="0"/>
    <s v="Ana"/>
    <n v="1128299"/>
    <d v="2022-10-20T00:00:00"/>
    <d v="2022-11-19T00:00:00"/>
    <s v="West"/>
    <x v="0"/>
    <x v="4"/>
    <n v="0.65"/>
    <n v="6500"/>
    <n v="30"/>
    <n v="4225"/>
    <x v="9"/>
  </r>
  <r>
    <x v="0"/>
    <s v="Ana"/>
    <n v="1128299"/>
    <d v="2022-10-20T00:00:00"/>
    <d v="2022-11-19T00:00:00"/>
    <s v="West"/>
    <x v="0"/>
    <x v="5"/>
    <n v="0.70000000000000007"/>
    <n v="7000"/>
    <n v="30"/>
    <n v="4900.0000000000009"/>
    <x v="9"/>
  </r>
  <r>
    <x v="0"/>
    <s v="Ana"/>
    <n v="1128299"/>
    <d v="2022-11-20T00:00:00"/>
    <d v="2022-12-20T00:00:00"/>
    <s v="West"/>
    <x v="0"/>
    <x v="0"/>
    <n v="0.55000000000000004"/>
    <n v="8750"/>
    <n v="30"/>
    <n v="4812.5"/>
    <x v="10"/>
  </r>
  <r>
    <x v="0"/>
    <s v="Ana"/>
    <n v="1128299"/>
    <d v="2022-11-20T00:00:00"/>
    <d v="2022-12-20T00:00:00"/>
    <s v="West"/>
    <x v="0"/>
    <x v="1"/>
    <n v="0.60000000000000009"/>
    <n v="8750"/>
    <n v="30"/>
    <n v="5250.0000000000009"/>
    <x v="10"/>
  </r>
  <r>
    <x v="0"/>
    <s v="Ana"/>
    <n v="1128299"/>
    <d v="2022-11-20T00:00:00"/>
    <d v="2022-12-20T00:00:00"/>
    <s v="West"/>
    <x v="0"/>
    <x v="2"/>
    <n v="0.55000000000000004"/>
    <n v="7250"/>
    <n v="30"/>
    <n v="3987.5000000000005"/>
    <x v="10"/>
  </r>
  <r>
    <x v="0"/>
    <s v="Ana"/>
    <n v="1128299"/>
    <d v="2022-11-20T00:00:00"/>
    <d v="2022-12-20T00:00:00"/>
    <s v="West"/>
    <x v="0"/>
    <x v="3"/>
    <n v="0.55000000000000004"/>
    <n v="7000"/>
    <n v="30"/>
    <n v="3850.0000000000005"/>
    <x v="10"/>
  </r>
  <r>
    <x v="0"/>
    <s v="Ana"/>
    <n v="1128299"/>
    <d v="2022-11-20T00:00:00"/>
    <d v="2022-12-20T00:00:00"/>
    <s v="West"/>
    <x v="0"/>
    <x v="4"/>
    <n v="0.65"/>
    <n v="6500"/>
    <n v="30"/>
    <n v="4225"/>
    <x v="10"/>
  </r>
  <r>
    <x v="0"/>
    <s v="Ana"/>
    <n v="1128299"/>
    <d v="2022-11-20T00:00:00"/>
    <d v="2022-12-20T00:00:00"/>
    <s v="West"/>
    <x v="0"/>
    <x v="5"/>
    <n v="0.70000000000000007"/>
    <n v="7750"/>
    <n v="30"/>
    <n v="5425.0000000000009"/>
    <x v="10"/>
  </r>
  <r>
    <x v="0"/>
    <s v="Ana"/>
    <n v="1128299"/>
    <d v="2022-12-19T00:00:00"/>
    <d v="2023-01-18T00:00:00"/>
    <s v="West"/>
    <x v="0"/>
    <x v="0"/>
    <n v="0.55000000000000004"/>
    <n v="9750"/>
    <n v="30"/>
    <n v="5362.5"/>
    <x v="11"/>
  </r>
  <r>
    <x v="0"/>
    <s v="Ana"/>
    <n v="1128299"/>
    <d v="2022-12-19T00:00:00"/>
    <d v="2023-01-18T00:00:00"/>
    <s v="West"/>
    <x v="0"/>
    <x v="1"/>
    <n v="0.60000000000000009"/>
    <n v="9750"/>
    <n v="30"/>
    <n v="5850.0000000000009"/>
    <x v="11"/>
  </r>
  <r>
    <x v="0"/>
    <s v="Ana"/>
    <n v="1128299"/>
    <d v="2022-12-19T00:00:00"/>
    <d v="2023-01-18T00:00:00"/>
    <s v="West"/>
    <x v="0"/>
    <x v="2"/>
    <n v="0.55000000000000004"/>
    <n v="7750"/>
    <n v="30"/>
    <n v="4262.5"/>
    <x v="11"/>
  </r>
  <r>
    <x v="0"/>
    <s v="Ana"/>
    <n v="1128299"/>
    <d v="2022-12-19T00:00:00"/>
    <d v="2023-01-18T00:00:00"/>
    <s v="West"/>
    <x v="0"/>
    <x v="3"/>
    <n v="0.55000000000000004"/>
    <n v="7750"/>
    <n v="30"/>
    <n v="4262.5"/>
    <x v="11"/>
  </r>
  <r>
    <x v="0"/>
    <s v="Ana"/>
    <n v="1128299"/>
    <d v="2022-12-19T00:00:00"/>
    <d v="2023-01-18T00:00:00"/>
    <s v="West"/>
    <x v="0"/>
    <x v="4"/>
    <n v="0.65"/>
    <n v="7000"/>
    <n v="30"/>
    <n v="4550"/>
    <x v="11"/>
  </r>
  <r>
    <x v="0"/>
    <s v="Ana"/>
    <n v="1128299"/>
    <d v="2022-12-19T00:00:00"/>
    <d v="2023-01-18T00:00:00"/>
    <s v="West"/>
    <x v="0"/>
    <x v="5"/>
    <n v="0.70000000000000007"/>
    <n v="8000"/>
    <n v="30"/>
    <n v="5600.0000000000009"/>
    <x v="11"/>
  </r>
  <r>
    <x v="1"/>
    <s v="Stuart"/>
    <n v="1197831"/>
    <d v="2022-01-02T00:00:00"/>
    <d v="2022-02-01T00:00:00"/>
    <s v="South"/>
    <x v="1"/>
    <x v="0"/>
    <n v="0.25"/>
    <n v="9000"/>
    <n v="30"/>
    <n v="2250"/>
    <x v="0"/>
  </r>
  <r>
    <x v="1"/>
    <s v="Stuart"/>
    <n v="1197831"/>
    <d v="2022-01-02T00:00:00"/>
    <d v="2022-02-01T00:00:00"/>
    <s v="South"/>
    <x v="1"/>
    <x v="1"/>
    <n v="0.35"/>
    <n v="9000"/>
    <n v="30"/>
    <n v="3150"/>
    <x v="0"/>
  </r>
  <r>
    <x v="1"/>
    <s v="Stuart"/>
    <n v="1197831"/>
    <d v="2022-01-02T00:00:00"/>
    <d v="2022-02-01T00:00:00"/>
    <s v="South"/>
    <x v="1"/>
    <x v="2"/>
    <n v="0.35"/>
    <n v="7000"/>
    <n v="30"/>
    <n v="2450"/>
    <x v="0"/>
  </r>
  <r>
    <x v="1"/>
    <s v="Stuart"/>
    <n v="1197831"/>
    <d v="2022-01-02T00:00:00"/>
    <d v="2022-02-01T00:00:00"/>
    <s v="South"/>
    <x v="1"/>
    <x v="3"/>
    <n v="0.35"/>
    <n v="7000"/>
    <n v="30"/>
    <n v="2450"/>
    <x v="0"/>
  </r>
  <r>
    <x v="1"/>
    <s v="Stuart"/>
    <n v="1197831"/>
    <d v="2022-01-02T00:00:00"/>
    <d v="2022-02-01T00:00:00"/>
    <s v="South"/>
    <x v="1"/>
    <x v="4"/>
    <n v="0.4"/>
    <n v="5500"/>
    <n v="30"/>
    <n v="2200"/>
    <x v="0"/>
  </r>
  <r>
    <x v="1"/>
    <s v="Stuart"/>
    <n v="1197831"/>
    <d v="2022-01-02T00:00:00"/>
    <d v="2022-02-01T00:00:00"/>
    <s v="South"/>
    <x v="1"/>
    <x v="5"/>
    <n v="0.35"/>
    <n v="7000"/>
    <n v="30"/>
    <n v="2450"/>
    <x v="0"/>
  </r>
  <r>
    <x v="1"/>
    <s v="Stuart"/>
    <n v="1197831"/>
    <d v="2022-02-01T00:00:00"/>
    <d v="2022-03-03T00:00:00"/>
    <s v="South"/>
    <x v="1"/>
    <x v="0"/>
    <n v="0.25"/>
    <n v="8500"/>
    <n v="30"/>
    <n v="2125"/>
    <x v="1"/>
  </r>
  <r>
    <x v="1"/>
    <s v="Stuart"/>
    <n v="1197831"/>
    <d v="2022-02-01T00:00:00"/>
    <d v="2022-03-11T00:00:00"/>
    <s v="South"/>
    <x v="1"/>
    <x v="1"/>
    <n v="0.35"/>
    <n v="8500"/>
    <n v="38"/>
    <n v="2975"/>
    <x v="1"/>
  </r>
  <r>
    <x v="1"/>
    <s v="Stuart"/>
    <n v="1197831"/>
    <d v="2022-02-01T00:00:00"/>
    <d v="2022-03-22T00:00:00"/>
    <s v="South"/>
    <x v="1"/>
    <x v="2"/>
    <n v="0.35"/>
    <n v="6750"/>
    <n v="49"/>
    <n v="2362.5"/>
    <x v="1"/>
  </r>
  <r>
    <x v="1"/>
    <s v="Stuart"/>
    <n v="1197831"/>
    <d v="2022-02-01T00:00:00"/>
    <d v="2022-03-03T00:00:00"/>
    <s v="South"/>
    <x v="1"/>
    <x v="3"/>
    <n v="0.35"/>
    <n v="6250"/>
    <n v="30"/>
    <n v="2187.5"/>
    <x v="1"/>
  </r>
  <r>
    <x v="1"/>
    <s v="Stuart"/>
    <n v="1197831"/>
    <d v="2022-02-01T00:00:00"/>
    <d v="2022-03-03T00:00:00"/>
    <s v="South"/>
    <x v="1"/>
    <x v="4"/>
    <n v="0.4"/>
    <n v="5000"/>
    <n v="30"/>
    <n v="2000"/>
    <x v="1"/>
  </r>
  <r>
    <x v="1"/>
    <s v="Stuart"/>
    <n v="1197831"/>
    <d v="2022-02-01T00:00:00"/>
    <d v="2022-03-03T00:00:00"/>
    <s v="South"/>
    <x v="1"/>
    <x v="5"/>
    <n v="0.35"/>
    <n v="7000"/>
    <n v="30"/>
    <n v="2450"/>
    <x v="1"/>
  </r>
  <r>
    <x v="1"/>
    <s v="Stuart"/>
    <n v="1197831"/>
    <d v="2022-03-03T00:00:00"/>
    <d v="2022-04-02T00:00:00"/>
    <s v="South"/>
    <x v="1"/>
    <x v="0"/>
    <n v="0.3"/>
    <n v="8750"/>
    <n v="30"/>
    <n v="2625"/>
    <x v="2"/>
  </r>
  <r>
    <x v="1"/>
    <s v="Stuart"/>
    <n v="1197831"/>
    <d v="2022-03-03T00:00:00"/>
    <d v="2022-04-02T00:00:00"/>
    <s v="South"/>
    <x v="1"/>
    <x v="1"/>
    <n v="0.4"/>
    <n v="8750"/>
    <n v="30"/>
    <n v="3500"/>
    <x v="2"/>
  </r>
  <r>
    <x v="1"/>
    <s v="Stuart"/>
    <n v="1197831"/>
    <d v="2022-03-03T00:00:00"/>
    <d v="2022-04-02T00:00:00"/>
    <s v="South"/>
    <x v="1"/>
    <x v="2"/>
    <n v="0.35"/>
    <n v="7000"/>
    <n v="30"/>
    <n v="2450"/>
    <x v="2"/>
  </r>
  <r>
    <x v="1"/>
    <s v="Stuart"/>
    <n v="1197831"/>
    <d v="2022-03-03T00:00:00"/>
    <d v="2022-04-02T00:00:00"/>
    <s v="South"/>
    <x v="1"/>
    <x v="3"/>
    <n v="0.4"/>
    <n v="6000"/>
    <n v="30"/>
    <n v="2400"/>
    <x v="2"/>
  </r>
  <r>
    <x v="1"/>
    <s v="Stuart"/>
    <n v="1197831"/>
    <d v="2022-03-03T00:00:00"/>
    <d v="2022-04-02T00:00:00"/>
    <s v="South"/>
    <x v="1"/>
    <x v="4"/>
    <n v="0.45"/>
    <n v="5000"/>
    <n v="30"/>
    <n v="2250"/>
    <x v="2"/>
  </r>
  <r>
    <x v="1"/>
    <s v="Stuart"/>
    <n v="1197831"/>
    <d v="2022-03-03T00:00:00"/>
    <d v="2022-04-02T00:00:00"/>
    <s v="South"/>
    <x v="1"/>
    <x v="5"/>
    <n v="0.4"/>
    <n v="6500"/>
    <n v="30"/>
    <n v="2600"/>
    <x v="2"/>
  </r>
  <r>
    <x v="1"/>
    <s v="Stuart"/>
    <n v="1197831"/>
    <d v="2022-04-02T00:00:00"/>
    <d v="2022-05-02T00:00:00"/>
    <s v="South"/>
    <x v="1"/>
    <x v="0"/>
    <n v="0.3"/>
    <n v="9000"/>
    <n v="30"/>
    <n v="2700"/>
    <x v="3"/>
  </r>
  <r>
    <x v="1"/>
    <s v="Stuart"/>
    <n v="1197831"/>
    <d v="2022-04-02T00:00:00"/>
    <d v="2022-05-02T00:00:00"/>
    <s v="South"/>
    <x v="1"/>
    <x v="1"/>
    <n v="0.4"/>
    <n v="9000"/>
    <n v="30"/>
    <n v="3600"/>
    <x v="3"/>
  </r>
  <r>
    <x v="1"/>
    <s v="Stuart"/>
    <n v="1197831"/>
    <d v="2022-04-02T00:00:00"/>
    <d v="2022-05-02T00:00:00"/>
    <s v="South"/>
    <x v="1"/>
    <x v="2"/>
    <n v="0.35"/>
    <n v="7250"/>
    <n v="30"/>
    <n v="2537.5"/>
    <x v="3"/>
  </r>
  <r>
    <x v="1"/>
    <s v="Stuart"/>
    <n v="1197831"/>
    <d v="2022-04-02T00:00:00"/>
    <d v="2022-05-02T00:00:00"/>
    <s v="South"/>
    <x v="1"/>
    <x v="3"/>
    <n v="0.4"/>
    <n v="6250"/>
    <n v="30"/>
    <n v="2500"/>
    <x v="3"/>
  </r>
  <r>
    <x v="1"/>
    <s v="Stuart"/>
    <n v="1197831"/>
    <d v="2022-04-02T00:00:00"/>
    <d v="2022-05-02T00:00:00"/>
    <s v="South"/>
    <x v="1"/>
    <x v="4"/>
    <n v="0.45"/>
    <n v="5250"/>
    <n v="30"/>
    <n v="2362.5"/>
    <x v="3"/>
  </r>
  <r>
    <x v="1"/>
    <s v="Stuart"/>
    <n v="1197831"/>
    <d v="2022-04-02T00:00:00"/>
    <d v="2022-05-02T00:00:00"/>
    <s v="South"/>
    <x v="1"/>
    <x v="5"/>
    <n v="0.4"/>
    <n v="8000"/>
    <n v="30"/>
    <n v="3200"/>
    <x v="3"/>
  </r>
  <r>
    <x v="1"/>
    <s v="Stuart"/>
    <n v="1197831"/>
    <d v="2022-05-02T00:00:00"/>
    <d v="2022-06-01T00:00:00"/>
    <s v="South"/>
    <x v="1"/>
    <x v="0"/>
    <n v="0.3"/>
    <n v="9250"/>
    <n v="30"/>
    <n v="2775"/>
    <x v="4"/>
  </r>
  <r>
    <x v="1"/>
    <s v="Stuart"/>
    <n v="1197831"/>
    <d v="2022-05-02T00:00:00"/>
    <d v="2022-06-01T00:00:00"/>
    <s v="South"/>
    <x v="1"/>
    <x v="1"/>
    <n v="0.4"/>
    <n v="9250"/>
    <n v="30"/>
    <n v="3700"/>
    <x v="4"/>
  </r>
  <r>
    <x v="1"/>
    <s v="Stuart"/>
    <n v="1197831"/>
    <d v="2022-05-02T00:00:00"/>
    <d v="2022-06-01T00:00:00"/>
    <s v="South"/>
    <x v="1"/>
    <x v="2"/>
    <n v="0.35"/>
    <n v="7750"/>
    <n v="30"/>
    <n v="2712.5"/>
    <x v="4"/>
  </r>
  <r>
    <x v="1"/>
    <s v="Stuart"/>
    <n v="1197831"/>
    <d v="2022-05-02T00:00:00"/>
    <d v="2022-06-01T00:00:00"/>
    <s v="South"/>
    <x v="1"/>
    <x v="3"/>
    <n v="0.4"/>
    <n v="7000"/>
    <n v="30"/>
    <n v="2800"/>
    <x v="4"/>
  </r>
  <r>
    <x v="1"/>
    <s v="Stuart"/>
    <n v="1197831"/>
    <d v="2022-05-02T00:00:00"/>
    <d v="2022-06-01T00:00:00"/>
    <s v="South"/>
    <x v="1"/>
    <x v="4"/>
    <n v="0.45"/>
    <n v="6000"/>
    <n v="30"/>
    <n v="2700"/>
    <x v="4"/>
  </r>
  <r>
    <x v="1"/>
    <s v="Stuart"/>
    <n v="1197831"/>
    <d v="2022-05-02T00:00:00"/>
    <d v="2022-06-01T00:00:00"/>
    <s v="South"/>
    <x v="1"/>
    <x v="5"/>
    <n v="0.4"/>
    <n v="9500"/>
    <n v="30"/>
    <n v="3800"/>
    <x v="4"/>
  </r>
  <r>
    <x v="1"/>
    <s v="Stuart"/>
    <n v="1197831"/>
    <d v="2022-06-01T00:00:00"/>
    <d v="2022-07-01T00:00:00"/>
    <s v="South"/>
    <x v="1"/>
    <x v="0"/>
    <n v="0.4"/>
    <n v="9500"/>
    <n v="30"/>
    <n v="3800"/>
    <x v="5"/>
  </r>
  <r>
    <x v="1"/>
    <s v="Stuart"/>
    <n v="1197831"/>
    <d v="2022-06-01T00:00:00"/>
    <d v="2022-07-01T00:00:00"/>
    <s v="South"/>
    <x v="1"/>
    <x v="1"/>
    <n v="0.45"/>
    <n v="9500"/>
    <n v="30"/>
    <n v="4275"/>
    <x v="5"/>
  </r>
  <r>
    <x v="1"/>
    <s v="Stuart"/>
    <n v="1197831"/>
    <d v="2022-06-01T00:00:00"/>
    <d v="2022-07-01T00:00:00"/>
    <s v="South"/>
    <x v="1"/>
    <x v="2"/>
    <n v="0.4"/>
    <n v="8000"/>
    <n v="30"/>
    <n v="3200"/>
    <x v="5"/>
  </r>
  <r>
    <x v="1"/>
    <s v="Stuart"/>
    <n v="1197831"/>
    <d v="2022-06-01T00:00:00"/>
    <d v="2022-07-01T00:00:00"/>
    <s v="South"/>
    <x v="1"/>
    <x v="3"/>
    <n v="0.4"/>
    <n v="7500"/>
    <n v="30"/>
    <n v="3000"/>
    <x v="5"/>
  </r>
  <r>
    <x v="1"/>
    <s v="Stuart"/>
    <n v="1197831"/>
    <d v="2022-06-01T00:00:00"/>
    <d v="2022-07-01T00:00:00"/>
    <s v="South"/>
    <x v="1"/>
    <x v="4"/>
    <n v="0.45"/>
    <n v="6500"/>
    <n v="30"/>
    <n v="2925"/>
    <x v="5"/>
  </r>
  <r>
    <x v="1"/>
    <s v="Stuart"/>
    <n v="1197831"/>
    <d v="2022-06-01T00:00:00"/>
    <d v="2022-07-01T00:00:00"/>
    <s v="South"/>
    <x v="1"/>
    <x v="5"/>
    <n v="0.5"/>
    <n v="10000"/>
    <n v="30"/>
    <n v="5000"/>
    <x v="5"/>
  </r>
  <r>
    <x v="1"/>
    <s v="Stuart"/>
    <n v="1197831"/>
    <d v="2022-07-03T00:00:00"/>
    <d v="2022-08-02T00:00:00"/>
    <s v="South"/>
    <x v="1"/>
    <x v="0"/>
    <n v="0.4"/>
    <n v="9500"/>
    <n v="30"/>
    <n v="3800"/>
    <x v="6"/>
  </r>
  <r>
    <x v="1"/>
    <s v="Stuart"/>
    <n v="1197831"/>
    <d v="2022-07-03T00:00:00"/>
    <d v="2022-08-02T00:00:00"/>
    <s v="South"/>
    <x v="1"/>
    <x v="1"/>
    <n v="0.45"/>
    <n v="9500"/>
    <n v="30"/>
    <n v="4275"/>
    <x v="6"/>
  </r>
  <r>
    <x v="1"/>
    <s v="Stuart"/>
    <n v="1197831"/>
    <d v="2022-07-03T00:00:00"/>
    <d v="2022-08-02T00:00:00"/>
    <s v="South"/>
    <x v="1"/>
    <x v="2"/>
    <n v="0.4"/>
    <n v="11000"/>
    <n v="30"/>
    <n v="4400"/>
    <x v="6"/>
  </r>
  <r>
    <x v="1"/>
    <s v="Stuart"/>
    <n v="1197831"/>
    <d v="2022-07-03T00:00:00"/>
    <d v="2022-08-02T00:00:00"/>
    <s v="South"/>
    <x v="1"/>
    <x v="3"/>
    <n v="0.4"/>
    <n v="7000"/>
    <n v="30"/>
    <n v="2800"/>
    <x v="6"/>
  </r>
  <r>
    <x v="1"/>
    <s v="Stuart"/>
    <n v="1197831"/>
    <d v="2022-07-03T00:00:00"/>
    <d v="2022-08-02T00:00:00"/>
    <s v="South"/>
    <x v="1"/>
    <x v="4"/>
    <n v="0.45"/>
    <n v="7000"/>
    <n v="30"/>
    <n v="3150"/>
    <x v="6"/>
  </r>
  <r>
    <x v="1"/>
    <s v="Stuart"/>
    <n v="1197831"/>
    <d v="2022-07-03T00:00:00"/>
    <d v="2022-08-02T00:00:00"/>
    <s v="South"/>
    <x v="1"/>
    <x v="5"/>
    <n v="0.5"/>
    <n v="9750"/>
    <n v="30"/>
    <n v="4875"/>
    <x v="6"/>
  </r>
  <r>
    <x v="1"/>
    <s v="Stuart"/>
    <n v="1197831"/>
    <d v="2022-08-05T00:00:00"/>
    <d v="2022-09-04T00:00:00"/>
    <s v="South"/>
    <x v="1"/>
    <x v="0"/>
    <n v="0.4"/>
    <n v="9250"/>
    <n v="30"/>
    <n v="3700"/>
    <x v="7"/>
  </r>
  <r>
    <x v="1"/>
    <s v="Stuart"/>
    <n v="1197831"/>
    <d v="2022-08-05T00:00:00"/>
    <d v="2022-09-04T00:00:00"/>
    <s v="South"/>
    <x v="1"/>
    <x v="1"/>
    <n v="0.45"/>
    <n v="9250"/>
    <n v="30"/>
    <n v="4162.5"/>
    <x v="7"/>
  </r>
  <r>
    <x v="1"/>
    <s v="Stuart"/>
    <n v="1197831"/>
    <d v="2022-08-05T00:00:00"/>
    <d v="2022-09-04T00:00:00"/>
    <s v="South"/>
    <x v="1"/>
    <x v="2"/>
    <n v="0.4"/>
    <n v="11000"/>
    <n v="30"/>
    <n v="4400"/>
    <x v="7"/>
  </r>
  <r>
    <x v="1"/>
    <s v="Stuart"/>
    <n v="1197831"/>
    <d v="2022-08-05T00:00:00"/>
    <d v="2022-09-04T00:00:00"/>
    <s v="South"/>
    <x v="1"/>
    <x v="3"/>
    <n v="0.4"/>
    <n v="6500"/>
    <n v="30"/>
    <n v="2600"/>
    <x v="7"/>
  </r>
  <r>
    <x v="1"/>
    <s v="Stuart"/>
    <n v="1197831"/>
    <d v="2022-08-05T00:00:00"/>
    <d v="2022-09-04T00:00:00"/>
    <s v="South"/>
    <x v="1"/>
    <x v="4"/>
    <n v="0.45"/>
    <n v="6500"/>
    <n v="30"/>
    <n v="2925"/>
    <x v="7"/>
  </r>
  <r>
    <x v="1"/>
    <s v="Stuart"/>
    <n v="1197831"/>
    <d v="2022-08-05T00:00:00"/>
    <d v="2022-09-04T00:00:00"/>
    <s v="South"/>
    <x v="1"/>
    <x v="5"/>
    <n v="0.5"/>
    <n v="9000"/>
    <n v="30"/>
    <n v="4500"/>
    <x v="7"/>
  </r>
  <r>
    <x v="1"/>
    <s v="Stuart"/>
    <n v="1197831"/>
    <d v="2022-09-02T00:00:00"/>
    <d v="2022-10-02T00:00:00"/>
    <s v="South"/>
    <x v="1"/>
    <x v="0"/>
    <n v="0.45"/>
    <n v="8500"/>
    <n v="30"/>
    <n v="3825"/>
    <x v="8"/>
  </r>
  <r>
    <x v="1"/>
    <s v="Stuart"/>
    <n v="1197831"/>
    <d v="2022-09-02T00:00:00"/>
    <d v="2022-10-02T00:00:00"/>
    <s v="South"/>
    <x v="1"/>
    <x v="1"/>
    <n v="0.45"/>
    <n v="8500"/>
    <n v="30"/>
    <n v="3825"/>
    <x v="8"/>
  </r>
  <r>
    <x v="1"/>
    <s v="Stuart"/>
    <n v="1197831"/>
    <d v="2022-09-02T00:00:00"/>
    <d v="2022-10-02T00:00:00"/>
    <s v="South"/>
    <x v="1"/>
    <x v="2"/>
    <n v="0.5"/>
    <n v="9000"/>
    <n v="30"/>
    <n v="4500"/>
    <x v="8"/>
  </r>
  <r>
    <x v="1"/>
    <s v="Stuart"/>
    <n v="1197831"/>
    <d v="2022-09-02T00:00:00"/>
    <d v="2022-10-02T00:00:00"/>
    <s v="South"/>
    <x v="1"/>
    <x v="3"/>
    <n v="0.5"/>
    <n v="6250"/>
    <n v="30"/>
    <n v="3125"/>
    <x v="8"/>
  </r>
  <r>
    <x v="1"/>
    <s v="Stuart"/>
    <n v="1197831"/>
    <d v="2022-09-02T00:00:00"/>
    <d v="2022-10-02T00:00:00"/>
    <s v="South"/>
    <x v="1"/>
    <x v="4"/>
    <n v="0.45"/>
    <n v="6250"/>
    <n v="30"/>
    <n v="2812.5"/>
    <x v="8"/>
  </r>
  <r>
    <x v="1"/>
    <s v="Stuart"/>
    <n v="1197831"/>
    <d v="2022-09-02T00:00:00"/>
    <d v="2022-10-02T00:00:00"/>
    <s v="South"/>
    <x v="1"/>
    <x v="5"/>
    <n v="0.55000000000000004"/>
    <n v="8500"/>
    <n v="30"/>
    <n v="4675"/>
    <x v="8"/>
  </r>
  <r>
    <x v="1"/>
    <s v="Stuart"/>
    <n v="1197831"/>
    <d v="2022-10-01T00:00:00"/>
    <d v="2022-10-31T00:00:00"/>
    <s v="South"/>
    <x v="1"/>
    <x v="0"/>
    <n v="0.45"/>
    <n v="8000"/>
    <n v="30"/>
    <n v="3600"/>
    <x v="8"/>
  </r>
  <r>
    <x v="1"/>
    <s v="Stuart"/>
    <n v="1197831"/>
    <d v="2022-10-01T00:00:00"/>
    <d v="2022-10-31T00:00:00"/>
    <s v="South"/>
    <x v="1"/>
    <x v="1"/>
    <n v="0.45"/>
    <n v="8000"/>
    <n v="30"/>
    <n v="3600"/>
    <x v="8"/>
  </r>
  <r>
    <x v="1"/>
    <s v="Stuart"/>
    <n v="1197831"/>
    <d v="2022-10-01T00:00:00"/>
    <d v="2022-10-31T00:00:00"/>
    <s v="South"/>
    <x v="1"/>
    <x v="2"/>
    <n v="0.5"/>
    <n v="7500"/>
    <n v="30"/>
    <n v="3750"/>
    <x v="8"/>
  </r>
  <r>
    <x v="1"/>
    <s v="Stuart"/>
    <n v="1197831"/>
    <d v="2022-10-01T00:00:00"/>
    <d v="2022-10-31T00:00:00"/>
    <s v="South"/>
    <x v="1"/>
    <x v="3"/>
    <n v="0.5"/>
    <n v="6000"/>
    <n v="30"/>
    <n v="3000"/>
    <x v="8"/>
  </r>
  <r>
    <x v="1"/>
    <s v="Stuart"/>
    <n v="1197831"/>
    <d v="2022-10-01T00:00:00"/>
    <d v="2022-10-31T00:00:00"/>
    <s v="South"/>
    <x v="1"/>
    <x v="4"/>
    <n v="0.45"/>
    <n v="5750"/>
    <n v="30"/>
    <n v="2587.5"/>
    <x v="8"/>
  </r>
  <r>
    <x v="1"/>
    <s v="Stuart"/>
    <n v="1197831"/>
    <d v="2022-10-01T00:00:00"/>
    <d v="2022-10-31T00:00:00"/>
    <s v="South"/>
    <x v="1"/>
    <x v="5"/>
    <n v="0.55000000000000004"/>
    <n v="7500"/>
    <n v="30"/>
    <n v="4125"/>
    <x v="8"/>
  </r>
  <r>
    <x v="1"/>
    <s v="Stuart"/>
    <n v="1197831"/>
    <d v="2022-11-02T00:00:00"/>
    <d v="2022-12-02T00:00:00"/>
    <s v="South"/>
    <x v="1"/>
    <x v="0"/>
    <n v="0.45"/>
    <n v="9000"/>
    <n v="30"/>
    <n v="4050"/>
    <x v="10"/>
  </r>
  <r>
    <x v="1"/>
    <s v="Stuart"/>
    <n v="1197831"/>
    <d v="2022-11-02T00:00:00"/>
    <d v="2022-12-02T00:00:00"/>
    <s v="South"/>
    <x v="1"/>
    <x v="1"/>
    <n v="0.45"/>
    <n v="9000"/>
    <n v="30"/>
    <n v="4050"/>
    <x v="10"/>
  </r>
  <r>
    <x v="1"/>
    <s v="Stuart"/>
    <n v="1197831"/>
    <d v="2022-11-02T00:00:00"/>
    <d v="2022-12-02T00:00:00"/>
    <s v="South"/>
    <x v="1"/>
    <x v="2"/>
    <n v="0.5"/>
    <n v="8250"/>
    <n v="30"/>
    <n v="4125"/>
    <x v="10"/>
  </r>
  <r>
    <x v="1"/>
    <s v="Stuart"/>
    <n v="1197831"/>
    <d v="2022-11-02T00:00:00"/>
    <d v="2022-12-02T00:00:00"/>
    <s v="South"/>
    <x v="1"/>
    <x v="3"/>
    <n v="0.5"/>
    <n v="6750"/>
    <n v="30"/>
    <n v="3375"/>
    <x v="10"/>
  </r>
  <r>
    <x v="1"/>
    <s v="Stuart"/>
    <n v="1197831"/>
    <d v="2022-11-02T00:00:00"/>
    <d v="2022-12-02T00:00:00"/>
    <s v="South"/>
    <x v="1"/>
    <x v="4"/>
    <n v="0.45"/>
    <n v="6500"/>
    <n v="30"/>
    <n v="2925"/>
    <x v="10"/>
  </r>
  <r>
    <x v="1"/>
    <s v="Stuart"/>
    <n v="1197831"/>
    <d v="2022-11-02T00:00:00"/>
    <d v="2022-12-02T00:00:00"/>
    <s v="South"/>
    <x v="1"/>
    <x v="5"/>
    <n v="0.55000000000000004"/>
    <n v="8500"/>
    <n v="30"/>
    <n v="4675"/>
    <x v="10"/>
  </r>
  <r>
    <x v="1"/>
    <s v="Stuart"/>
    <n v="1197831"/>
    <d v="2022-12-01T00:00:00"/>
    <d v="2022-12-31T00:00:00"/>
    <s v="South"/>
    <x v="1"/>
    <x v="0"/>
    <n v="0.45"/>
    <n v="9500"/>
    <n v="30"/>
    <n v="4275"/>
    <x v="10"/>
  </r>
  <r>
    <x v="1"/>
    <s v="Stuart"/>
    <n v="1197831"/>
    <d v="2022-12-01T00:00:00"/>
    <d v="2022-12-31T00:00:00"/>
    <s v="South"/>
    <x v="1"/>
    <x v="1"/>
    <n v="0.45"/>
    <n v="9500"/>
    <n v="30"/>
    <n v="4275"/>
    <x v="10"/>
  </r>
  <r>
    <x v="1"/>
    <s v="Stuart"/>
    <n v="1197831"/>
    <d v="2022-12-01T00:00:00"/>
    <d v="2022-12-31T00:00:00"/>
    <s v="South"/>
    <x v="1"/>
    <x v="2"/>
    <n v="0.5"/>
    <n v="8500"/>
    <n v="30"/>
    <n v="4250"/>
    <x v="10"/>
  </r>
  <r>
    <x v="1"/>
    <s v="Stuart"/>
    <n v="1197831"/>
    <d v="2022-12-01T00:00:00"/>
    <d v="2022-12-31T00:00:00"/>
    <s v="South"/>
    <x v="1"/>
    <x v="3"/>
    <n v="0.5"/>
    <n v="7000"/>
    <n v="30"/>
    <n v="3500"/>
    <x v="10"/>
  </r>
  <r>
    <x v="1"/>
    <s v="Stuart"/>
    <n v="1197831"/>
    <d v="2022-12-01T00:00:00"/>
    <d v="2022-12-31T00:00:00"/>
    <s v="South"/>
    <x v="1"/>
    <x v="4"/>
    <n v="0.45"/>
    <n v="6500"/>
    <n v="30"/>
    <n v="2925"/>
    <x v="10"/>
  </r>
  <r>
    <x v="1"/>
    <s v="Stuart"/>
    <n v="1197831"/>
    <d v="2022-12-01T00:00:00"/>
    <d v="2022-12-31T00:00:00"/>
    <s v="South"/>
    <x v="1"/>
    <x v="5"/>
    <n v="0.55000000000000004"/>
    <n v="9000"/>
    <n v="30"/>
    <n v="4950"/>
    <x v="10"/>
  </r>
  <r>
    <x v="2"/>
    <s v="Maria"/>
    <n v="1189833"/>
    <d v="2022-01-15T00:00:00"/>
    <d v="2022-02-19T00:00:00"/>
    <s v="West"/>
    <x v="0"/>
    <x v="0"/>
    <n v="0.35"/>
    <n v="7000"/>
    <n v="35"/>
    <n v="2450"/>
    <x v="0"/>
  </r>
  <r>
    <x v="2"/>
    <s v="Maria"/>
    <n v="1189833"/>
    <d v="2022-01-15T00:00:00"/>
    <d v="2022-02-14T00:00:00"/>
    <s v="West"/>
    <x v="0"/>
    <x v="1"/>
    <n v="0.45"/>
    <n v="7000"/>
    <n v="30"/>
    <n v="3150"/>
    <x v="0"/>
  </r>
  <r>
    <x v="2"/>
    <s v="Maria"/>
    <n v="1189833"/>
    <d v="2022-01-15T00:00:00"/>
    <d v="2022-02-14T00:00:00"/>
    <s v="West"/>
    <x v="0"/>
    <x v="2"/>
    <n v="0.45"/>
    <n v="7000"/>
    <n v="30"/>
    <n v="3150"/>
    <x v="0"/>
  </r>
  <r>
    <x v="2"/>
    <s v="Maria"/>
    <n v="1189833"/>
    <d v="2022-01-15T00:00:00"/>
    <d v="2022-02-14T00:00:00"/>
    <s v="West"/>
    <x v="0"/>
    <x v="3"/>
    <n v="0.45"/>
    <n v="5500"/>
    <n v="30"/>
    <n v="2475"/>
    <x v="0"/>
  </r>
  <r>
    <x v="2"/>
    <s v="Maria"/>
    <n v="1189833"/>
    <d v="2022-01-15T00:00:00"/>
    <d v="2022-02-14T00:00:00"/>
    <s v="West"/>
    <x v="0"/>
    <x v="4"/>
    <n v="0.5"/>
    <n v="5000"/>
    <n v="30"/>
    <n v="2500"/>
    <x v="0"/>
  </r>
  <r>
    <x v="2"/>
    <s v="Maria"/>
    <n v="1189833"/>
    <d v="2022-01-15T00:00:00"/>
    <d v="2022-02-14T00:00:00"/>
    <s v="West"/>
    <x v="0"/>
    <x v="5"/>
    <n v="0.45"/>
    <n v="7000"/>
    <n v="30"/>
    <n v="3150"/>
    <x v="0"/>
  </r>
  <r>
    <x v="2"/>
    <s v="Maria"/>
    <n v="1189833"/>
    <d v="2022-02-15T00:00:00"/>
    <d v="2022-03-17T00:00:00"/>
    <s v="West"/>
    <x v="0"/>
    <x v="0"/>
    <n v="0.35"/>
    <n v="7500"/>
    <n v="30"/>
    <n v="2625"/>
    <x v="1"/>
  </r>
  <r>
    <x v="2"/>
    <s v="Maria"/>
    <n v="1189833"/>
    <d v="2022-02-15T00:00:00"/>
    <d v="2022-03-17T00:00:00"/>
    <s v="West"/>
    <x v="0"/>
    <x v="1"/>
    <n v="0.45"/>
    <n v="6500"/>
    <n v="30"/>
    <n v="2925"/>
    <x v="1"/>
  </r>
  <r>
    <x v="2"/>
    <s v="Maria"/>
    <n v="1189833"/>
    <d v="2022-02-15T00:00:00"/>
    <d v="2022-03-17T00:00:00"/>
    <s v="West"/>
    <x v="0"/>
    <x v="2"/>
    <n v="0.45"/>
    <n v="6750"/>
    <n v="30"/>
    <n v="3037.5"/>
    <x v="1"/>
  </r>
  <r>
    <x v="2"/>
    <s v="Maria"/>
    <n v="1189833"/>
    <d v="2022-02-15T00:00:00"/>
    <d v="2022-03-17T00:00:00"/>
    <s v="West"/>
    <x v="0"/>
    <x v="3"/>
    <n v="0.45"/>
    <n v="5250"/>
    <n v="30"/>
    <n v="2362.5"/>
    <x v="1"/>
  </r>
  <r>
    <x v="2"/>
    <s v="Maria"/>
    <n v="1189833"/>
    <d v="2022-02-15T00:00:00"/>
    <d v="2022-03-22T00:00:00"/>
    <s v="West"/>
    <x v="0"/>
    <x v="4"/>
    <n v="0.5"/>
    <n v="4500"/>
    <n v="35"/>
    <n v="2250"/>
    <x v="1"/>
  </r>
  <r>
    <x v="2"/>
    <s v="Maria"/>
    <n v="1189833"/>
    <d v="2022-02-15T00:00:00"/>
    <d v="2022-03-25T00:00:00"/>
    <s v="West"/>
    <x v="0"/>
    <x v="5"/>
    <n v="0.45"/>
    <n v="6500"/>
    <n v="38"/>
    <n v="2925"/>
    <x v="1"/>
  </r>
  <r>
    <x v="2"/>
    <s v="Maria"/>
    <n v="1189833"/>
    <d v="2022-03-14T00:00:00"/>
    <d v="2022-04-13T00:00:00"/>
    <s v="West"/>
    <x v="0"/>
    <x v="0"/>
    <n v="0.35"/>
    <n v="8000"/>
    <n v="30"/>
    <n v="2800"/>
    <x v="2"/>
  </r>
  <r>
    <x v="2"/>
    <s v="Maria"/>
    <n v="1189833"/>
    <d v="2022-03-14T00:00:00"/>
    <d v="2022-04-13T00:00:00"/>
    <s v="West"/>
    <x v="0"/>
    <x v="1"/>
    <n v="0.45"/>
    <n v="6500"/>
    <n v="30"/>
    <n v="2925"/>
    <x v="2"/>
  </r>
  <r>
    <x v="2"/>
    <s v="Maria"/>
    <n v="1189833"/>
    <d v="2022-03-14T00:00:00"/>
    <d v="2022-04-13T00:00:00"/>
    <s v="West"/>
    <x v="0"/>
    <x v="2"/>
    <n v="0.45"/>
    <n v="6500"/>
    <n v="30"/>
    <n v="2925"/>
    <x v="2"/>
  </r>
  <r>
    <x v="2"/>
    <s v="Maria"/>
    <n v="1189833"/>
    <d v="2022-03-14T00:00:00"/>
    <d v="2022-04-13T00:00:00"/>
    <s v="West"/>
    <x v="0"/>
    <x v="3"/>
    <n v="0.45"/>
    <n v="5500"/>
    <n v="30"/>
    <n v="2475"/>
    <x v="2"/>
  </r>
  <r>
    <x v="2"/>
    <s v="Maria"/>
    <n v="1189833"/>
    <d v="2022-03-14T00:00:00"/>
    <d v="2022-04-13T00:00:00"/>
    <s v="West"/>
    <x v="0"/>
    <x v="4"/>
    <n v="0.5"/>
    <n v="4250"/>
    <n v="30"/>
    <n v="2125"/>
    <x v="2"/>
  </r>
  <r>
    <x v="2"/>
    <s v="Maria"/>
    <n v="1189833"/>
    <d v="2022-03-14T00:00:00"/>
    <d v="2022-04-13T00:00:00"/>
    <s v="West"/>
    <x v="0"/>
    <x v="5"/>
    <n v="0.45"/>
    <n v="6250"/>
    <n v="30"/>
    <n v="2812.5"/>
    <x v="2"/>
  </r>
  <r>
    <x v="2"/>
    <s v="Maria"/>
    <n v="1189833"/>
    <d v="2022-04-15T00:00:00"/>
    <d v="2022-05-15T00:00:00"/>
    <s v="West"/>
    <x v="0"/>
    <x v="0"/>
    <n v="0.45"/>
    <n v="8000"/>
    <n v="30"/>
    <n v="3600"/>
    <x v="3"/>
  </r>
  <r>
    <x v="2"/>
    <s v="Maria"/>
    <n v="1189833"/>
    <d v="2022-04-15T00:00:00"/>
    <d v="2022-05-15T00:00:00"/>
    <s v="West"/>
    <x v="0"/>
    <x v="1"/>
    <n v="0.5"/>
    <n v="6000"/>
    <n v="30"/>
    <n v="3000"/>
    <x v="3"/>
  </r>
  <r>
    <x v="2"/>
    <s v="Maria"/>
    <n v="1189833"/>
    <d v="2022-04-15T00:00:00"/>
    <d v="2022-05-15T00:00:00"/>
    <s v="West"/>
    <x v="0"/>
    <x v="2"/>
    <n v="0.5"/>
    <n v="6250"/>
    <n v="30"/>
    <n v="3125"/>
    <x v="3"/>
  </r>
  <r>
    <x v="2"/>
    <s v="Maria"/>
    <n v="1189833"/>
    <d v="2022-04-15T00:00:00"/>
    <d v="2022-05-15T00:00:00"/>
    <s v="West"/>
    <x v="0"/>
    <x v="3"/>
    <n v="0.45"/>
    <n v="5250"/>
    <n v="30"/>
    <n v="2362.5"/>
    <x v="3"/>
  </r>
  <r>
    <x v="2"/>
    <s v="Maria"/>
    <n v="1189833"/>
    <d v="2022-04-15T00:00:00"/>
    <d v="2022-05-15T00:00:00"/>
    <s v="West"/>
    <x v="0"/>
    <x v="4"/>
    <n v="0.5"/>
    <n v="4250"/>
    <n v="30"/>
    <n v="2125"/>
    <x v="3"/>
  </r>
  <r>
    <x v="2"/>
    <s v="Maria"/>
    <n v="1189833"/>
    <d v="2022-04-15T00:00:00"/>
    <d v="2022-05-15T00:00:00"/>
    <s v="West"/>
    <x v="0"/>
    <x v="5"/>
    <n v="0.65"/>
    <n v="6000"/>
    <n v="30"/>
    <n v="3900"/>
    <x v="3"/>
  </r>
  <r>
    <x v="2"/>
    <s v="Maria"/>
    <n v="1189833"/>
    <d v="2022-05-16T00:00:00"/>
    <d v="2022-06-15T00:00:00"/>
    <s v="West"/>
    <x v="0"/>
    <x v="0"/>
    <n v="0.45"/>
    <n v="8000"/>
    <n v="30"/>
    <n v="3600"/>
    <x v="4"/>
  </r>
  <r>
    <x v="2"/>
    <s v="Maria"/>
    <n v="1189833"/>
    <d v="2022-05-16T00:00:00"/>
    <d v="2022-06-15T00:00:00"/>
    <s v="West"/>
    <x v="0"/>
    <x v="1"/>
    <n v="0.5"/>
    <n v="6500"/>
    <n v="30"/>
    <n v="3250"/>
    <x v="4"/>
  </r>
  <r>
    <x v="2"/>
    <s v="Maria"/>
    <n v="1189833"/>
    <d v="2022-05-16T00:00:00"/>
    <d v="2022-06-15T00:00:00"/>
    <s v="West"/>
    <x v="0"/>
    <x v="2"/>
    <n v="0.5"/>
    <n v="6500"/>
    <n v="30"/>
    <n v="3250"/>
    <x v="4"/>
  </r>
  <r>
    <x v="2"/>
    <s v="Maria"/>
    <n v="1189833"/>
    <d v="2022-05-16T00:00:00"/>
    <d v="2022-06-15T00:00:00"/>
    <s v="West"/>
    <x v="0"/>
    <x v="3"/>
    <n v="0.45"/>
    <n v="5500"/>
    <n v="30"/>
    <n v="2475"/>
    <x v="4"/>
  </r>
  <r>
    <x v="2"/>
    <s v="Maria"/>
    <n v="1189833"/>
    <d v="2022-05-16T00:00:00"/>
    <d v="2022-06-15T00:00:00"/>
    <s v="West"/>
    <x v="0"/>
    <x v="4"/>
    <n v="0.5"/>
    <n v="4500"/>
    <n v="30"/>
    <n v="2250"/>
    <x v="4"/>
  </r>
  <r>
    <x v="2"/>
    <s v="Maria"/>
    <n v="1189833"/>
    <d v="2022-05-16T00:00:00"/>
    <d v="2022-06-15T00:00:00"/>
    <s v="West"/>
    <x v="0"/>
    <x v="5"/>
    <n v="0.65"/>
    <n v="6250"/>
    <n v="30"/>
    <n v="4062.5"/>
    <x v="4"/>
  </r>
  <r>
    <x v="2"/>
    <s v="Maria"/>
    <n v="1189833"/>
    <d v="2022-06-15T00:00:00"/>
    <d v="2022-07-15T00:00:00"/>
    <s v="West"/>
    <x v="0"/>
    <x v="0"/>
    <n v="0.45"/>
    <n v="9000"/>
    <n v="30"/>
    <n v="4050"/>
    <x v="5"/>
  </r>
  <r>
    <x v="2"/>
    <s v="Maria"/>
    <n v="1189833"/>
    <d v="2022-06-15T00:00:00"/>
    <d v="2022-07-15T00:00:00"/>
    <s v="West"/>
    <x v="0"/>
    <x v="1"/>
    <n v="0.5"/>
    <n v="7500"/>
    <n v="30"/>
    <n v="3750"/>
    <x v="5"/>
  </r>
  <r>
    <x v="2"/>
    <s v="Maria"/>
    <n v="1189833"/>
    <d v="2022-06-15T00:00:00"/>
    <d v="2022-07-15T00:00:00"/>
    <s v="West"/>
    <x v="0"/>
    <x v="2"/>
    <n v="0.5"/>
    <n v="7500"/>
    <n v="30"/>
    <n v="3750"/>
    <x v="5"/>
  </r>
  <r>
    <x v="2"/>
    <s v="Maria"/>
    <n v="1189833"/>
    <d v="2022-06-15T00:00:00"/>
    <d v="2022-07-15T00:00:00"/>
    <s v="West"/>
    <x v="0"/>
    <x v="3"/>
    <n v="0.45"/>
    <n v="6250"/>
    <n v="30"/>
    <n v="2812.5"/>
    <x v="5"/>
  </r>
  <r>
    <x v="2"/>
    <s v="Maria"/>
    <n v="1189833"/>
    <d v="2022-06-15T00:00:00"/>
    <d v="2022-07-15T00:00:00"/>
    <s v="West"/>
    <x v="0"/>
    <x v="4"/>
    <n v="0.5"/>
    <n v="5000"/>
    <n v="30"/>
    <n v="2500"/>
    <x v="5"/>
  </r>
  <r>
    <x v="2"/>
    <s v="Maria"/>
    <n v="1189833"/>
    <d v="2022-06-15T00:00:00"/>
    <d v="2022-07-15T00:00:00"/>
    <s v="West"/>
    <x v="0"/>
    <x v="5"/>
    <n v="0.65"/>
    <n v="8000"/>
    <n v="30"/>
    <n v="5200"/>
    <x v="5"/>
  </r>
  <r>
    <x v="2"/>
    <s v="Maria"/>
    <n v="1189833"/>
    <d v="2022-07-14T00:00:00"/>
    <d v="2022-08-13T00:00:00"/>
    <s v="West"/>
    <x v="0"/>
    <x v="0"/>
    <n v="0.45"/>
    <n v="9500"/>
    <n v="30"/>
    <n v="4275"/>
    <x v="6"/>
  </r>
  <r>
    <x v="2"/>
    <s v="Maria"/>
    <n v="1189833"/>
    <d v="2022-07-14T00:00:00"/>
    <d v="2022-08-13T00:00:00"/>
    <s v="West"/>
    <x v="0"/>
    <x v="1"/>
    <n v="0.5"/>
    <n v="8000"/>
    <n v="30"/>
    <n v="4000"/>
    <x v="6"/>
  </r>
  <r>
    <x v="2"/>
    <s v="Maria"/>
    <n v="1189833"/>
    <d v="2022-07-14T00:00:00"/>
    <d v="2022-08-13T00:00:00"/>
    <s v="West"/>
    <x v="0"/>
    <x v="2"/>
    <n v="0.5"/>
    <n v="7500"/>
    <n v="30"/>
    <n v="3750"/>
    <x v="6"/>
  </r>
  <r>
    <x v="2"/>
    <s v="Maria"/>
    <n v="1189833"/>
    <d v="2022-07-14T00:00:00"/>
    <d v="2022-08-13T00:00:00"/>
    <s v="West"/>
    <x v="0"/>
    <x v="3"/>
    <n v="0.45"/>
    <n v="6500"/>
    <n v="30"/>
    <n v="2925"/>
    <x v="6"/>
  </r>
  <r>
    <x v="2"/>
    <s v="Maria"/>
    <n v="1189833"/>
    <d v="2022-07-14T00:00:00"/>
    <d v="2022-08-13T00:00:00"/>
    <s v="West"/>
    <x v="0"/>
    <x v="4"/>
    <n v="0.5"/>
    <n v="7000"/>
    <n v="30"/>
    <n v="3500"/>
    <x v="6"/>
  </r>
  <r>
    <x v="2"/>
    <s v="Maria"/>
    <n v="1189833"/>
    <d v="2022-07-14T00:00:00"/>
    <d v="2022-08-13T00:00:00"/>
    <s v="West"/>
    <x v="0"/>
    <x v="5"/>
    <n v="0.65"/>
    <n v="7000"/>
    <n v="30"/>
    <n v="4550"/>
    <x v="6"/>
  </r>
  <r>
    <x v="2"/>
    <s v="Maria"/>
    <n v="1189833"/>
    <d v="2022-08-15T00:00:00"/>
    <d v="2022-09-14T00:00:00"/>
    <s v="West"/>
    <x v="0"/>
    <x v="0"/>
    <n v="0.5"/>
    <n v="9000"/>
    <n v="30"/>
    <n v="4500"/>
    <x v="7"/>
  </r>
  <r>
    <x v="2"/>
    <s v="Maria"/>
    <n v="1189833"/>
    <d v="2022-08-15T00:00:00"/>
    <d v="2022-09-14T00:00:00"/>
    <s v="West"/>
    <x v="0"/>
    <x v="1"/>
    <n v="0.55000000000000004"/>
    <n v="8500"/>
    <n v="30"/>
    <n v="4675"/>
    <x v="7"/>
  </r>
  <r>
    <x v="2"/>
    <s v="Maria"/>
    <n v="1189833"/>
    <d v="2022-08-15T00:00:00"/>
    <d v="2022-09-14T00:00:00"/>
    <s v="West"/>
    <x v="0"/>
    <x v="2"/>
    <n v="0.5"/>
    <n v="7250"/>
    <n v="30"/>
    <n v="3625"/>
    <x v="7"/>
  </r>
  <r>
    <x v="2"/>
    <s v="Maria"/>
    <n v="1189833"/>
    <d v="2022-08-15T00:00:00"/>
    <d v="2022-09-14T00:00:00"/>
    <s v="West"/>
    <x v="0"/>
    <x v="3"/>
    <n v="0.5"/>
    <n v="6750"/>
    <n v="30"/>
    <n v="3375"/>
    <x v="7"/>
  </r>
  <r>
    <x v="2"/>
    <s v="Maria"/>
    <n v="1189833"/>
    <d v="2022-08-15T00:00:00"/>
    <d v="2022-09-14T00:00:00"/>
    <s v="West"/>
    <x v="0"/>
    <x v="4"/>
    <n v="0.6"/>
    <n v="6750"/>
    <n v="30"/>
    <n v="4050"/>
    <x v="7"/>
  </r>
  <r>
    <x v="2"/>
    <s v="Maria"/>
    <n v="1189833"/>
    <d v="2022-08-15T00:00:00"/>
    <d v="2022-09-14T00:00:00"/>
    <s v="West"/>
    <x v="0"/>
    <x v="5"/>
    <n v="0.65"/>
    <n v="6500"/>
    <n v="30"/>
    <n v="4225"/>
    <x v="7"/>
  </r>
  <r>
    <x v="2"/>
    <s v="Maria"/>
    <n v="1189833"/>
    <d v="2022-09-16T00:00:00"/>
    <d v="2022-10-16T00:00:00"/>
    <s v="West"/>
    <x v="0"/>
    <x v="0"/>
    <n v="0.5"/>
    <n v="8500"/>
    <n v="30"/>
    <n v="4250"/>
    <x v="8"/>
  </r>
  <r>
    <x v="2"/>
    <s v="Maria"/>
    <n v="1189833"/>
    <d v="2022-09-16T00:00:00"/>
    <d v="2022-10-16T00:00:00"/>
    <s v="West"/>
    <x v="0"/>
    <x v="1"/>
    <n v="0.55000000000000004"/>
    <n v="8500"/>
    <n v="30"/>
    <n v="4675"/>
    <x v="8"/>
  </r>
  <r>
    <x v="2"/>
    <s v="Maria"/>
    <n v="1189833"/>
    <d v="2022-09-16T00:00:00"/>
    <d v="2022-10-16T00:00:00"/>
    <s v="West"/>
    <x v="0"/>
    <x v="2"/>
    <n v="0.5"/>
    <n v="7000"/>
    <n v="30"/>
    <n v="3500"/>
    <x v="8"/>
  </r>
  <r>
    <x v="2"/>
    <s v="Maria"/>
    <n v="1189833"/>
    <d v="2022-09-16T00:00:00"/>
    <d v="2022-10-16T00:00:00"/>
    <s v="West"/>
    <x v="0"/>
    <x v="3"/>
    <n v="0.5"/>
    <n v="6500"/>
    <n v="30"/>
    <n v="3250"/>
    <x v="8"/>
  </r>
  <r>
    <x v="2"/>
    <s v="Maria"/>
    <n v="1189833"/>
    <d v="2022-09-16T00:00:00"/>
    <d v="2022-10-16T00:00:00"/>
    <s v="West"/>
    <x v="0"/>
    <x v="4"/>
    <n v="0.6"/>
    <n v="6500"/>
    <n v="30"/>
    <n v="3900"/>
    <x v="8"/>
  </r>
  <r>
    <x v="2"/>
    <s v="Maria"/>
    <n v="1189833"/>
    <d v="2022-09-16T00:00:00"/>
    <d v="2022-10-16T00:00:00"/>
    <s v="West"/>
    <x v="0"/>
    <x v="5"/>
    <n v="0.65"/>
    <n v="7000"/>
    <n v="30"/>
    <n v="4550"/>
    <x v="8"/>
  </r>
  <r>
    <x v="2"/>
    <s v="Maria"/>
    <n v="1189833"/>
    <d v="2022-10-15T00:00:00"/>
    <d v="2022-11-14T00:00:00"/>
    <s v="West"/>
    <x v="0"/>
    <x v="0"/>
    <n v="0.5"/>
    <n v="8000"/>
    <n v="30"/>
    <n v="4000"/>
    <x v="9"/>
  </r>
  <r>
    <x v="2"/>
    <s v="Maria"/>
    <n v="1189833"/>
    <d v="2022-10-15T00:00:00"/>
    <d v="2022-11-14T00:00:00"/>
    <s v="West"/>
    <x v="0"/>
    <x v="1"/>
    <n v="0.55000000000000004"/>
    <n v="8000"/>
    <n v="30"/>
    <n v="4400"/>
    <x v="9"/>
  </r>
  <r>
    <x v="2"/>
    <s v="Maria"/>
    <n v="1189833"/>
    <d v="2022-10-15T00:00:00"/>
    <d v="2022-11-14T00:00:00"/>
    <s v="West"/>
    <x v="0"/>
    <x v="2"/>
    <n v="0.5"/>
    <n v="6500"/>
    <n v="30"/>
    <n v="3250"/>
    <x v="9"/>
  </r>
  <r>
    <x v="2"/>
    <s v="Maria"/>
    <n v="1189833"/>
    <d v="2022-10-15T00:00:00"/>
    <d v="2022-11-14T00:00:00"/>
    <s v="West"/>
    <x v="0"/>
    <x v="3"/>
    <n v="0.5"/>
    <n v="6250"/>
    <n v="30"/>
    <n v="3125"/>
    <x v="9"/>
  </r>
  <r>
    <x v="2"/>
    <s v="Maria"/>
    <n v="1189833"/>
    <d v="2022-10-15T00:00:00"/>
    <d v="2022-11-14T00:00:00"/>
    <s v="West"/>
    <x v="0"/>
    <x v="4"/>
    <n v="0.6"/>
    <n v="6000"/>
    <n v="30"/>
    <n v="3600"/>
    <x v="9"/>
  </r>
  <r>
    <x v="2"/>
    <s v="Maria"/>
    <n v="1189833"/>
    <d v="2022-10-15T00:00:00"/>
    <d v="2022-11-14T00:00:00"/>
    <s v="West"/>
    <x v="0"/>
    <x v="5"/>
    <n v="0.65"/>
    <n v="6500"/>
    <n v="30"/>
    <n v="4225"/>
    <x v="9"/>
  </r>
  <r>
    <x v="2"/>
    <s v="Maria"/>
    <n v="1189833"/>
    <d v="2022-11-15T00:00:00"/>
    <d v="2022-12-15T00:00:00"/>
    <s v="West"/>
    <x v="0"/>
    <x v="0"/>
    <n v="0.5"/>
    <n v="8250"/>
    <n v="30"/>
    <n v="4125"/>
    <x v="10"/>
  </r>
  <r>
    <x v="2"/>
    <s v="Maria"/>
    <n v="1189833"/>
    <d v="2022-11-15T00:00:00"/>
    <d v="2022-12-15T00:00:00"/>
    <s v="West"/>
    <x v="0"/>
    <x v="1"/>
    <n v="0.55000000000000004"/>
    <n v="8250"/>
    <n v="30"/>
    <n v="4537.5"/>
    <x v="10"/>
  </r>
  <r>
    <x v="2"/>
    <s v="Maria"/>
    <n v="1189833"/>
    <d v="2022-11-15T00:00:00"/>
    <d v="2022-12-15T00:00:00"/>
    <s v="West"/>
    <x v="0"/>
    <x v="2"/>
    <n v="0.5"/>
    <n v="6750"/>
    <n v="30"/>
    <n v="3375"/>
    <x v="10"/>
  </r>
  <r>
    <x v="2"/>
    <s v="Maria"/>
    <n v="1189833"/>
    <d v="2022-11-15T00:00:00"/>
    <d v="2022-12-15T00:00:00"/>
    <s v="West"/>
    <x v="0"/>
    <x v="3"/>
    <n v="0.5"/>
    <n v="6500"/>
    <n v="30"/>
    <n v="3250"/>
    <x v="10"/>
  </r>
  <r>
    <x v="2"/>
    <s v="Maria"/>
    <n v="1189833"/>
    <d v="2022-11-15T00:00:00"/>
    <d v="2022-12-15T00:00:00"/>
    <s v="West"/>
    <x v="0"/>
    <x v="4"/>
    <n v="0.6"/>
    <n v="6000"/>
    <n v="30"/>
    <n v="3600"/>
    <x v="10"/>
  </r>
  <r>
    <x v="2"/>
    <s v="Maria"/>
    <n v="1189833"/>
    <d v="2022-11-15T00:00:00"/>
    <d v="2022-12-15T00:00:00"/>
    <s v="West"/>
    <x v="0"/>
    <x v="5"/>
    <n v="0.65"/>
    <n v="7000"/>
    <n v="30"/>
    <n v="4550"/>
    <x v="10"/>
  </r>
  <r>
    <x v="2"/>
    <s v="Maria"/>
    <n v="1189833"/>
    <d v="2022-12-14T00:00:00"/>
    <d v="2023-01-13T00:00:00"/>
    <s v="West"/>
    <x v="0"/>
    <x v="0"/>
    <n v="0.5"/>
    <n v="9000"/>
    <n v="30"/>
    <n v="4500"/>
    <x v="11"/>
  </r>
  <r>
    <x v="2"/>
    <s v="Maria"/>
    <n v="1189833"/>
    <d v="2022-12-14T00:00:00"/>
    <d v="2023-01-13T00:00:00"/>
    <s v="West"/>
    <x v="0"/>
    <x v="1"/>
    <n v="0.55000000000000004"/>
    <n v="9000"/>
    <n v="30"/>
    <n v="4950"/>
    <x v="11"/>
  </r>
  <r>
    <x v="2"/>
    <s v="Maria"/>
    <n v="1189833"/>
    <d v="2022-12-14T00:00:00"/>
    <d v="2023-01-13T00:00:00"/>
    <s v="West"/>
    <x v="0"/>
    <x v="2"/>
    <n v="0.5"/>
    <n v="7000"/>
    <n v="30"/>
    <n v="3500"/>
    <x v="11"/>
  </r>
  <r>
    <x v="2"/>
    <s v="Maria"/>
    <n v="1189833"/>
    <d v="2022-12-14T00:00:00"/>
    <d v="2023-01-13T00:00:00"/>
    <s v="West"/>
    <x v="0"/>
    <x v="3"/>
    <n v="0.5"/>
    <n v="7000"/>
    <n v="30"/>
    <n v="3500"/>
    <x v="11"/>
  </r>
  <r>
    <x v="2"/>
    <s v="Maria"/>
    <n v="1189833"/>
    <d v="2022-12-14T00:00:00"/>
    <d v="2023-01-13T00:00:00"/>
    <s v="West"/>
    <x v="0"/>
    <x v="4"/>
    <n v="0.6"/>
    <n v="6250"/>
    <n v="30"/>
    <n v="3750"/>
    <x v="11"/>
  </r>
  <r>
    <x v="2"/>
    <s v="Maria"/>
    <n v="1189833"/>
    <d v="2022-12-14T00:00:00"/>
    <d v="2023-01-13T00:00:00"/>
    <s v="West"/>
    <x v="0"/>
    <x v="5"/>
    <n v="0.65"/>
    <n v="7250"/>
    <n v="30"/>
    <n v="4712.5"/>
    <x v="11"/>
  </r>
  <r>
    <x v="3"/>
    <s v="Allen"/>
    <n v="1185732"/>
    <d v="2022-01-14T00:00:00"/>
    <d v="2022-02-13T00:00:00"/>
    <s v="Northeast"/>
    <x v="2"/>
    <x v="0"/>
    <n v="0.5"/>
    <n v="12000"/>
    <n v="30"/>
    <n v="6000"/>
    <x v="0"/>
  </r>
  <r>
    <x v="3"/>
    <s v="Allen"/>
    <n v="1185732"/>
    <d v="2022-01-14T00:00:00"/>
    <d v="2022-02-13T00:00:00"/>
    <s v="Northeast"/>
    <x v="2"/>
    <x v="1"/>
    <n v="0.5"/>
    <n v="10000"/>
    <n v="30"/>
    <n v="5000"/>
    <x v="0"/>
  </r>
  <r>
    <x v="3"/>
    <s v="Allen"/>
    <n v="1185732"/>
    <d v="2022-01-14T00:00:00"/>
    <d v="2022-02-13T00:00:00"/>
    <s v="Northeast"/>
    <x v="2"/>
    <x v="2"/>
    <n v="0.4"/>
    <n v="10000"/>
    <n v="30"/>
    <n v="4000"/>
    <x v="0"/>
  </r>
  <r>
    <x v="3"/>
    <s v="Allen"/>
    <n v="1185732"/>
    <d v="2022-01-14T00:00:00"/>
    <d v="2022-02-13T00:00:00"/>
    <s v="Northeast"/>
    <x v="2"/>
    <x v="3"/>
    <n v="0.45"/>
    <n v="8500"/>
    <n v="30"/>
    <n v="3825"/>
    <x v="0"/>
  </r>
  <r>
    <x v="3"/>
    <s v="Allen"/>
    <n v="1185732"/>
    <d v="2022-01-14T00:00:00"/>
    <d v="2022-02-13T00:00:00"/>
    <s v="Northeast"/>
    <x v="2"/>
    <x v="4"/>
    <n v="0.6"/>
    <n v="9000"/>
    <n v="30"/>
    <n v="5400"/>
    <x v="0"/>
  </r>
  <r>
    <x v="3"/>
    <s v="Allen"/>
    <n v="1185732"/>
    <d v="2022-01-14T00:00:00"/>
    <d v="2022-02-28T00:00:00"/>
    <s v="Northeast"/>
    <x v="2"/>
    <x v="5"/>
    <n v="0.5"/>
    <n v="10000"/>
    <n v="45"/>
    <n v="5000"/>
    <x v="0"/>
  </r>
  <r>
    <x v="3"/>
    <s v="Allen"/>
    <n v="1185732"/>
    <d v="2022-02-12T00:00:00"/>
    <d v="2022-03-14T00:00:00"/>
    <s v="Northeast"/>
    <x v="2"/>
    <x v="0"/>
    <n v="0.5"/>
    <n v="12500"/>
    <n v="30"/>
    <n v="6250"/>
    <x v="1"/>
  </r>
  <r>
    <x v="3"/>
    <s v="Allen"/>
    <n v="1185732"/>
    <d v="2022-02-12T00:00:00"/>
    <d v="2022-03-14T00:00:00"/>
    <s v="Northeast"/>
    <x v="2"/>
    <x v="1"/>
    <n v="0.5"/>
    <n v="9000"/>
    <n v="30"/>
    <n v="4500"/>
    <x v="1"/>
  </r>
  <r>
    <x v="3"/>
    <s v="Allen"/>
    <n v="1185732"/>
    <d v="2022-02-12T00:00:00"/>
    <d v="2022-03-14T00:00:00"/>
    <s v="Northeast"/>
    <x v="2"/>
    <x v="2"/>
    <n v="0.4"/>
    <n v="9500"/>
    <n v="30"/>
    <n v="3800"/>
    <x v="1"/>
  </r>
  <r>
    <x v="3"/>
    <s v="Allen"/>
    <n v="1185732"/>
    <d v="2022-02-12T00:00:00"/>
    <d v="2022-03-14T00:00:00"/>
    <s v="Northeast"/>
    <x v="2"/>
    <x v="3"/>
    <n v="0.45"/>
    <n v="8250"/>
    <n v="30"/>
    <n v="3712.5"/>
    <x v="1"/>
  </r>
  <r>
    <x v="3"/>
    <s v="Allen"/>
    <n v="1185732"/>
    <d v="2022-02-12T00:00:00"/>
    <d v="2022-03-29T00:00:00"/>
    <s v="Northeast"/>
    <x v="2"/>
    <x v="4"/>
    <n v="0.6"/>
    <n v="9000"/>
    <n v="45"/>
    <n v="5400"/>
    <x v="1"/>
  </r>
  <r>
    <x v="3"/>
    <s v="Allen"/>
    <n v="1185732"/>
    <d v="2022-02-12T00:00:00"/>
    <d v="2022-03-14T00:00:00"/>
    <s v="Northeast"/>
    <x v="2"/>
    <x v="5"/>
    <n v="0.5"/>
    <n v="10000"/>
    <n v="30"/>
    <n v="5000"/>
    <x v="1"/>
  </r>
  <r>
    <x v="3"/>
    <s v="Allen"/>
    <n v="1185732"/>
    <d v="2022-03-10T00:00:00"/>
    <d v="2022-04-09T00:00:00"/>
    <s v="Northeast"/>
    <x v="2"/>
    <x v="0"/>
    <n v="0.5"/>
    <n v="12200"/>
    <n v="30"/>
    <n v="6100"/>
    <x v="2"/>
  </r>
  <r>
    <x v="3"/>
    <s v="Allen"/>
    <n v="1185732"/>
    <d v="2022-03-10T00:00:00"/>
    <d v="2022-04-09T00:00:00"/>
    <s v="Northeast"/>
    <x v="2"/>
    <x v="1"/>
    <n v="0.5"/>
    <n v="9250"/>
    <n v="30"/>
    <n v="4625"/>
    <x v="2"/>
  </r>
  <r>
    <x v="3"/>
    <s v="Allen"/>
    <n v="1185732"/>
    <d v="2022-03-10T00:00:00"/>
    <d v="2022-04-24T00:00:00"/>
    <s v="Northeast"/>
    <x v="2"/>
    <x v="2"/>
    <n v="0.4"/>
    <n v="9500"/>
    <n v="45"/>
    <n v="3800"/>
    <x v="2"/>
  </r>
  <r>
    <x v="3"/>
    <s v="Allen"/>
    <n v="1185732"/>
    <d v="2022-03-10T00:00:00"/>
    <d v="2022-04-09T00:00:00"/>
    <s v="Northeast"/>
    <x v="2"/>
    <x v="3"/>
    <n v="0.45"/>
    <n v="8000"/>
    <n v="30"/>
    <n v="3600"/>
    <x v="2"/>
  </r>
  <r>
    <x v="3"/>
    <s v="Allen"/>
    <n v="1185732"/>
    <d v="2022-03-10T00:00:00"/>
    <d v="2022-04-09T00:00:00"/>
    <s v="Northeast"/>
    <x v="2"/>
    <x v="4"/>
    <n v="0.6"/>
    <n v="8500"/>
    <n v="30"/>
    <n v="5100"/>
    <x v="2"/>
  </r>
  <r>
    <x v="3"/>
    <s v="Allen"/>
    <n v="1185732"/>
    <d v="2022-03-10T00:00:00"/>
    <d v="2022-04-09T00:00:00"/>
    <s v="Northeast"/>
    <x v="2"/>
    <x v="5"/>
    <n v="0.5"/>
    <n v="9500"/>
    <n v="30"/>
    <n v="4750"/>
    <x v="2"/>
  </r>
  <r>
    <x v="3"/>
    <s v="Allen"/>
    <n v="1185732"/>
    <d v="2022-04-11T00:00:00"/>
    <d v="2022-05-11T00:00:00"/>
    <s v="Northeast"/>
    <x v="2"/>
    <x v="0"/>
    <n v="0.5"/>
    <n v="12000"/>
    <n v="30"/>
    <n v="6000"/>
    <x v="3"/>
  </r>
  <r>
    <x v="3"/>
    <s v="Allen"/>
    <n v="1185732"/>
    <d v="2022-04-11T00:00:00"/>
    <d v="2022-05-11T00:00:00"/>
    <s v="Northeast"/>
    <x v="2"/>
    <x v="1"/>
    <n v="0.5"/>
    <n v="9000"/>
    <n v="30"/>
    <n v="4500"/>
    <x v="3"/>
  </r>
  <r>
    <x v="3"/>
    <s v="Allen"/>
    <n v="1185732"/>
    <d v="2022-04-11T00:00:00"/>
    <d v="2022-05-11T00:00:00"/>
    <s v="Northeast"/>
    <x v="2"/>
    <x v="2"/>
    <n v="0.4"/>
    <n v="9000"/>
    <n v="30"/>
    <n v="3600"/>
    <x v="3"/>
  </r>
  <r>
    <x v="3"/>
    <s v="Allen"/>
    <n v="1185732"/>
    <d v="2022-04-11T00:00:00"/>
    <d v="2022-05-11T00:00:00"/>
    <s v="Northeast"/>
    <x v="2"/>
    <x v="3"/>
    <n v="0.45"/>
    <n v="8250"/>
    <n v="30"/>
    <n v="3712.5"/>
    <x v="3"/>
  </r>
  <r>
    <x v="3"/>
    <s v="Allen"/>
    <n v="1185732"/>
    <d v="2022-04-11T00:00:00"/>
    <d v="2022-05-11T00:00:00"/>
    <s v="Northeast"/>
    <x v="2"/>
    <x v="4"/>
    <n v="0.6"/>
    <n v="8250"/>
    <n v="30"/>
    <n v="4950"/>
    <x v="3"/>
  </r>
  <r>
    <x v="3"/>
    <s v="Allen"/>
    <n v="1185732"/>
    <d v="2022-04-11T00:00:00"/>
    <d v="2022-05-11T00:00:00"/>
    <s v="Northeast"/>
    <x v="2"/>
    <x v="5"/>
    <n v="0.5"/>
    <n v="9500"/>
    <n v="30"/>
    <n v="4750"/>
    <x v="3"/>
  </r>
  <r>
    <x v="3"/>
    <s v="Allen"/>
    <n v="1185732"/>
    <d v="2022-05-10T00:00:00"/>
    <d v="2022-06-09T00:00:00"/>
    <s v="Northeast"/>
    <x v="2"/>
    <x v="0"/>
    <n v="0.6"/>
    <n v="12200"/>
    <n v="30"/>
    <n v="7320"/>
    <x v="4"/>
  </r>
  <r>
    <x v="3"/>
    <s v="Allen"/>
    <n v="1185732"/>
    <d v="2022-05-10T00:00:00"/>
    <d v="2022-06-09T00:00:00"/>
    <s v="Northeast"/>
    <x v="2"/>
    <x v="1"/>
    <n v="0.55000000000000004"/>
    <n v="9250"/>
    <n v="30"/>
    <n v="5087.5"/>
    <x v="4"/>
  </r>
  <r>
    <x v="3"/>
    <s v="Allen"/>
    <n v="1185732"/>
    <d v="2022-05-10T00:00:00"/>
    <d v="2022-06-09T00:00:00"/>
    <s v="Northeast"/>
    <x v="2"/>
    <x v="2"/>
    <n v="0.5"/>
    <n v="9000"/>
    <n v="30"/>
    <n v="4500"/>
    <x v="4"/>
  </r>
  <r>
    <x v="3"/>
    <s v="Allen"/>
    <n v="1185732"/>
    <d v="2022-05-10T00:00:00"/>
    <d v="2022-06-09T00:00:00"/>
    <s v="Northeast"/>
    <x v="2"/>
    <x v="3"/>
    <n v="0.5"/>
    <n v="8500"/>
    <n v="30"/>
    <n v="4250"/>
    <x v="4"/>
  </r>
  <r>
    <x v="3"/>
    <s v="Allen"/>
    <n v="1185732"/>
    <d v="2022-05-10T00:00:00"/>
    <d v="2022-06-09T00:00:00"/>
    <s v="Northeast"/>
    <x v="2"/>
    <x v="4"/>
    <n v="0.6"/>
    <n v="8750"/>
    <n v="30"/>
    <n v="5250"/>
    <x v="4"/>
  </r>
  <r>
    <x v="3"/>
    <s v="Allen"/>
    <n v="1185732"/>
    <d v="2022-05-10T00:00:00"/>
    <d v="2022-06-09T00:00:00"/>
    <s v="Northeast"/>
    <x v="2"/>
    <x v="5"/>
    <n v="0.65"/>
    <n v="10000"/>
    <n v="30"/>
    <n v="6500"/>
    <x v="4"/>
  </r>
  <r>
    <x v="3"/>
    <s v="Allen"/>
    <n v="1185732"/>
    <d v="2022-06-12T00:00:00"/>
    <d v="2022-07-12T00:00:00"/>
    <s v="Northeast"/>
    <x v="2"/>
    <x v="0"/>
    <n v="0.6"/>
    <n v="12500"/>
    <n v="30"/>
    <n v="7500"/>
    <x v="5"/>
  </r>
  <r>
    <x v="3"/>
    <s v="Allen"/>
    <n v="1185732"/>
    <d v="2022-06-12T00:00:00"/>
    <d v="2022-07-12T00:00:00"/>
    <s v="Northeast"/>
    <x v="2"/>
    <x v="1"/>
    <n v="0.55000000000000004"/>
    <n v="10000"/>
    <n v="30"/>
    <n v="5500"/>
    <x v="5"/>
  </r>
  <r>
    <x v="3"/>
    <s v="Allen"/>
    <n v="1185732"/>
    <d v="2022-06-12T00:00:00"/>
    <d v="2022-07-12T00:00:00"/>
    <s v="Northeast"/>
    <x v="2"/>
    <x v="2"/>
    <n v="0.5"/>
    <n v="9250"/>
    <n v="30"/>
    <n v="4625"/>
    <x v="5"/>
  </r>
  <r>
    <x v="3"/>
    <s v="Allen"/>
    <n v="1185732"/>
    <d v="2022-06-12T00:00:00"/>
    <d v="2022-07-12T00:00:00"/>
    <s v="Northeast"/>
    <x v="2"/>
    <x v="3"/>
    <n v="0.5"/>
    <n v="9000"/>
    <n v="30"/>
    <n v="4500"/>
    <x v="5"/>
  </r>
  <r>
    <x v="3"/>
    <s v="Allen"/>
    <n v="1185732"/>
    <d v="2022-06-12T00:00:00"/>
    <d v="2022-07-12T00:00:00"/>
    <s v="Northeast"/>
    <x v="2"/>
    <x v="4"/>
    <n v="0.6"/>
    <n v="9000"/>
    <n v="30"/>
    <n v="5400"/>
    <x v="5"/>
  </r>
  <r>
    <x v="3"/>
    <s v="Allen"/>
    <n v="1185732"/>
    <d v="2022-06-12T00:00:00"/>
    <d v="2022-07-12T00:00:00"/>
    <s v="Northeast"/>
    <x v="2"/>
    <x v="5"/>
    <n v="0.65"/>
    <n v="10500"/>
    <n v="30"/>
    <n v="6825"/>
    <x v="5"/>
  </r>
  <r>
    <x v="3"/>
    <s v="Allen"/>
    <n v="1185732"/>
    <d v="2022-07-10T00:00:00"/>
    <d v="2022-08-09T00:00:00"/>
    <s v="Northeast"/>
    <x v="2"/>
    <x v="0"/>
    <n v="0.6"/>
    <n v="12750"/>
    <n v="30"/>
    <n v="7650"/>
    <x v="6"/>
  </r>
  <r>
    <x v="3"/>
    <s v="Allen"/>
    <n v="1185732"/>
    <d v="2022-07-10T00:00:00"/>
    <d v="2022-08-09T00:00:00"/>
    <s v="Northeast"/>
    <x v="2"/>
    <x v="1"/>
    <n v="0.55000000000000004"/>
    <n v="10250"/>
    <n v="30"/>
    <n v="5637.5000000000009"/>
    <x v="6"/>
  </r>
  <r>
    <x v="3"/>
    <s v="Allen"/>
    <n v="1185732"/>
    <d v="2022-07-10T00:00:00"/>
    <d v="2022-08-09T00:00:00"/>
    <s v="Northeast"/>
    <x v="2"/>
    <x v="2"/>
    <n v="0.5"/>
    <n v="9500"/>
    <n v="30"/>
    <n v="4750"/>
    <x v="6"/>
  </r>
  <r>
    <x v="3"/>
    <s v="Allen"/>
    <n v="1185732"/>
    <d v="2022-07-10T00:00:00"/>
    <d v="2022-08-09T00:00:00"/>
    <s v="Northeast"/>
    <x v="2"/>
    <x v="3"/>
    <n v="0.5"/>
    <n v="9000"/>
    <n v="30"/>
    <n v="4500"/>
    <x v="6"/>
  </r>
  <r>
    <x v="3"/>
    <s v="Allen"/>
    <n v="1185732"/>
    <d v="2022-07-10T00:00:00"/>
    <d v="2022-08-09T00:00:00"/>
    <s v="Northeast"/>
    <x v="2"/>
    <x v="4"/>
    <n v="0.6"/>
    <n v="9250"/>
    <n v="30"/>
    <n v="5550"/>
    <x v="6"/>
  </r>
  <r>
    <x v="3"/>
    <s v="Allen"/>
    <n v="1185732"/>
    <d v="2022-07-10T00:00:00"/>
    <d v="2022-08-09T00:00:00"/>
    <s v="Northeast"/>
    <x v="2"/>
    <x v="5"/>
    <n v="0.65"/>
    <n v="11000"/>
    <n v="30"/>
    <n v="7150"/>
    <x v="6"/>
  </r>
  <r>
    <x v="3"/>
    <s v="Allen"/>
    <n v="1185732"/>
    <d v="2022-08-11T00:00:00"/>
    <d v="2022-09-10T00:00:00"/>
    <s v="Northeast"/>
    <x v="2"/>
    <x v="0"/>
    <n v="0.6"/>
    <n v="12500"/>
    <n v="30"/>
    <n v="7500"/>
    <x v="7"/>
  </r>
  <r>
    <x v="3"/>
    <s v="Allen"/>
    <n v="1185732"/>
    <d v="2022-08-11T00:00:00"/>
    <d v="2022-09-10T00:00:00"/>
    <s v="Northeast"/>
    <x v="2"/>
    <x v="1"/>
    <n v="0.55000000000000004"/>
    <n v="10250"/>
    <n v="30"/>
    <n v="5637.5000000000009"/>
    <x v="7"/>
  </r>
  <r>
    <x v="3"/>
    <s v="Allen"/>
    <n v="1185732"/>
    <d v="2022-08-11T00:00:00"/>
    <d v="2022-09-10T00:00:00"/>
    <s v="Northeast"/>
    <x v="2"/>
    <x v="2"/>
    <n v="0.5"/>
    <n v="9500"/>
    <n v="30"/>
    <n v="4750"/>
    <x v="7"/>
  </r>
  <r>
    <x v="3"/>
    <s v="Allen"/>
    <n v="1185732"/>
    <d v="2022-08-11T00:00:00"/>
    <d v="2022-09-10T00:00:00"/>
    <s v="Northeast"/>
    <x v="2"/>
    <x v="3"/>
    <n v="0.5"/>
    <n v="9250"/>
    <n v="30"/>
    <n v="4625"/>
    <x v="7"/>
  </r>
  <r>
    <x v="3"/>
    <s v="Allen"/>
    <n v="1185732"/>
    <d v="2022-08-11T00:00:00"/>
    <d v="2022-09-10T00:00:00"/>
    <s v="Northeast"/>
    <x v="2"/>
    <x v="4"/>
    <n v="0.6"/>
    <n v="9000"/>
    <n v="30"/>
    <n v="5400"/>
    <x v="7"/>
  </r>
  <r>
    <x v="3"/>
    <s v="Allen"/>
    <n v="1185732"/>
    <d v="2022-08-11T00:00:00"/>
    <d v="2022-09-10T00:00:00"/>
    <s v="Northeast"/>
    <x v="2"/>
    <x v="5"/>
    <n v="0.65"/>
    <n v="10750"/>
    <n v="30"/>
    <n v="6987.5"/>
    <x v="7"/>
  </r>
  <r>
    <x v="3"/>
    <s v="Allen"/>
    <n v="1185732"/>
    <d v="2022-09-10T00:00:00"/>
    <d v="2022-10-10T00:00:00"/>
    <s v="Northeast"/>
    <x v="2"/>
    <x v="0"/>
    <n v="0.6"/>
    <n v="12000"/>
    <n v="30"/>
    <n v="7200"/>
    <x v="8"/>
  </r>
  <r>
    <x v="3"/>
    <s v="Allen"/>
    <n v="1185732"/>
    <d v="2022-09-10T00:00:00"/>
    <d v="2022-10-10T00:00:00"/>
    <s v="Northeast"/>
    <x v="2"/>
    <x v="1"/>
    <n v="0.55000000000000004"/>
    <n v="10000"/>
    <n v="30"/>
    <n v="5500"/>
    <x v="8"/>
  </r>
  <r>
    <x v="3"/>
    <s v="Allen"/>
    <n v="1185732"/>
    <d v="2022-09-10T00:00:00"/>
    <d v="2022-10-10T00:00:00"/>
    <s v="Northeast"/>
    <x v="2"/>
    <x v="2"/>
    <n v="0.5"/>
    <n v="9250"/>
    <n v="30"/>
    <n v="4625"/>
    <x v="8"/>
  </r>
  <r>
    <x v="3"/>
    <s v="Allen"/>
    <n v="1185732"/>
    <d v="2022-09-10T00:00:00"/>
    <d v="2022-10-10T00:00:00"/>
    <s v="Northeast"/>
    <x v="2"/>
    <x v="3"/>
    <n v="0.5"/>
    <n v="9000"/>
    <n v="30"/>
    <n v="4500"/>
    <x v="8"/>
  </r>
  <r>
    <x v="3"/>
    <s v="Allen"/>
    <n v="1185732"/>
    <d v="2022-09-10T00:00:00"/>
    <d v="2022-10-10T00:00:00"/>
    <s v="Northeast"/>
    <x v="2"/>
    <x v="4"/>
    <n v="0.6"/>
    <n v="9000"/>
    <n v="30"/>
    <n v="5400"/>
    <x v="8"/>
  </r>
  <r>
    <x v="3"/>
    <s v="Allen"/>
    <n v="1185732"/>
    <d v="2022-09-10T00:00:00"/>
    <d v="2022-10-10T00:00:00"/>
    <s v="Northeast"/>
    <x v="2"/>
    <x v="5"/>
    <n v="0.65"/>
    <n v="10000"/>
    <n v="30"/>
    <n v="6500"/>
    <x v="8"/>
  </r>
  <r>
    <x v="3"/>
    <s v="Allen"/>
    <n v="1185732"/>
    <d v="2022-10-12T00:00:00"/>
    <d v="2022-11-11T00:00:00"/>
    <s v="Northeast"/>
    <x v="2"/>
    <x v="0"/>
    <n v="0.65"/>
    <n v="11750"/>
    <n v="30"/>
    <n v="7637.5"/>
    <x v="9"/>
  </r>
  <r>
    <x v="3"/>
    <s v="Allen"/>
    <n v="1185732"/>
    <d v="2022-10-12T00:00:00"/>
    <d v="2022-11-11T00:00:00"/>
    <s v="Northeast"/>
    <x v="2"/>
    <x v="1"/>
    <n v="0.55000000000000004"/>
    <n v="10000"/>
    <n v="30"/>
    <n v="5500"/>
    <x v="9"/>
  </r>
  <r>
    <x v="3"/>
    <s v="Allen"/>
    <n v="1185732"/>
    <d v="2022-10-12T00:00:00"/>
    <d v="2022-11-11T00:00:00"/>
    <s v="Northeast"/>
    <x v="2"/>
    <x v="2"/>
    <n v="0.55000000000000004"/>
    <n v="9000"/>
    <n v="30"/>
    <n v="4950"/>
    <x v="9"/>
  </r>
  <r>
    <x v="3"/>
    <s v="Allen"/>
    <n v="1185732"/>
    <d v="2022-10-12T00:00:00"/>
    <d v="2022-11-11T00:00:00"/>
    <s v="Northeast"/>
    <x v="2"/>
    <x v="3"/>
    <n v="0.55000000000000004"/>
    <n v="8750"/>
    <n v="30"/>
    <n v="4812.5"/>
    <x v="9"/>
  </r>
  <r>
    <x v="3"/>
    <s v="Allen"/>
    <n v="1185732"/>
    <d v="2022-10-12T00:00:00"/>
    <d v="2022-11-11T00:00:00"/>
    <s v="Northeast"/>
    <x v="2"/>
    <x v="4"/>
    <n v="0.65"/>
    <n v="8750"/>
    <n v="30"/>
    <n v="5687.5"/>
    <x v="9"/>
  </r>
  <r>
    <x v="3"/>
    <s v="Allen"/>
    <n v="1185732"/>
    <d v="2022-10-12T00:00:00"/>
    <d v="2022-11-11T00:00:00"/>
    <s v="Northeast"/>
    <x v="2"/>
    <x v="5"/>
    <n v="0.7"/>
    <n v="10000"/>
    <n v="30"/>
    <n v="7000"/>
    <x v="9"/>
  </r>
  <r>
    <x v="3"/>
    <s v="Allen"/>
    <n v="1185732"/>
    <d v="2022-11-11T00:00:00"/>
    <d v="2022-12-11T00:00:00"/>
    <s v="Northeast"/>
    <x v="2"/>
    <x v="0"/>
    <n v="0.65"/>
    <n v="11500"/>
    <n v="30"/>
    <n v="7475"/>
    <x v="10"/>
  </r>
  <r>
    <x v="3"/>
    <s v="Allen"/>
    <n v="1185732"/>
    <d v="2022-11-11T00:00:00"/>
    <d v="2022-12-11T00:00:00"/>
    <s v="Northeast"/>
    <x v="2"/>
    <x v="1"/>
    <n v="0.55000000000000004"/>
    <n v="9750"/>
    <n v="30"/>
    <n v="5362.5"/>
    <x v="10"/>
  </r>
  <r>
    <x v="3"/>
    <s v="Allen"/>
    <n v="1185732"/>
    <d v="2022-11-11T00:00:00"/>
    <d v="2022-12-11T00:00:00"/>
    <s v="Northeast"/>
    <x v="2"/>
    <x v="2"/>
    <n v="0.55000000000000004"/>
    <n v="9200"/>
    <n v="30"/>
    <n v="5060"/>
    <x v="10"/>
  </r>
  <r>
    <x v="3"/>
    <s v="Allen"/>
    <n v="1185732"/>
    <d v="2022-11-11T00:00:00"/>
    <d v="2022-12-11T00:00:00"/>
    <s v="Northeast"/>
    <x v="2"/>
    <x v="3"/>
    <n v="0.55000000000000004"/>
    <n v="9000"/>
    <n v="30"/>
    <n v="4950"/>
    <x v="10"/>
  </r>
  <r>
    <x v="3"/>
    <s v="Allen"/>
    <n v="1185732"/>
    <d v="2022-11-11T00:00:00"/>
    <d v="2022-12-11T00:00:00"/>
    <s v="Northeast"/>
    <x v="2"/>
    <x v="4"/>
    <n v="0.65"/>
    <n v="8750"/>
    <n v="30"/>
    <n v="5687.5"/>
    <x v="10"/>
  </r>
  <r>
    <x v="3"/>
    <s v="Allen"/>
    <n v="1185732"/>
    <d v="2022-11-11T00:00:00"/>
    <d v="2022-12-11T00:00:00"/>
    <s v="Northeast"/>
    <x v="2"/>
    <x v="5"/>
    <n v="0.7"/>
    <n v="9750"/>
    <n v="30"/>
    <n v="6825"/>
    <x v="10"/>
  </r>
  <r>
    <x v="3"/>
    <s v="Allen"/>
    <n v="1185732"/>
    <d v="2022-12-10T00:00:00"/>
    <d v="2023-01-09T00:00:00"/>
    <s v="Northeast"/>
    <x v="2"/>
    <x v="0"/>
    <n v="0.65"/>
    <n v="12000"/>
    <n v="30"/>
    <n v="7800"/>
    <x v="11"/>
  </r>
  <r>
    <x v="3"/>
    <s v="Allen"/>
    <n v="1185732"/>
    <d v="2022-12-10T00:00:00"/>
    <d v="2023-01-09T00:00:00"/>
    <s v="Northeast"/>
    <x v="2"/>
    <x v="1"/>
    <n v="0.55000000000000004"/>
    <n v="10000"/>
    <n v="30"/>
    <n v="5500"/>
    <x v="11"/>
  </r>
  <r>
    <x v="3"/>
    <s v="Allen"/>
    <n v="1185732"/>
    <d v="2022-12-10T00:00:00"/>
    <d v="2023-01-09T00:00:00"/>
    <s v="Northeast"/>
    <x v="2"/>
    <x v="2"/>
    <n v="0.55000000000000004"/>
    <n v="9500"/>
    <n v="30"/>
    <n v="5225"/>
    <x v="11"/>
  </r>
  <r>
    <x v="3"/>
    <s v="Allen"/>
    <n v="1185732"/>
    <d v="2022-12-10T00:00:00"/>
    <d v="2023-01-09T00:00:00"/>
    <s v="Northeast"/>
    <x v="2"/>
    <x v="3"/>
    <n v="0.55000000000000004"/>
    <n v="9000"/>
    <n v="30"/>
    <n v="4950"/>
    <x v="11"/>
  </r>
  <r>
    <x v="3"/>
    <s v="Allen"/>
    <n v="1185732"/>
    <d v="2022-12-10T00:00:00"/>
    <d v="2023-01-09T00:00:00"/>
    <s v="Northeast"/>
    <x v="2"/>
    <x v="4"/>
    <n v="0.65"/>
    <n v="9000"/>
    <n v="30"/>
    <n v="5850"/>
    <x v="11"/>
  </r>
  <r>
    <x v="3"/>
    <s v="Allen"/>
    <n v="1185732"/>
    <d v="2022-12-10T00:00:00"/>
    <d v="2023-01-09T00:00:00"/>
    <s v="Northeast"/>
    <x v="2"/>
    <x v="5"/>
    <n v="0.7"/>
    <n v="10000"/>
    <n v="30"/>
    <n v="7000"/>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9C35ED4-D7F0-6545-B6BF-4525BA9DDA8A}" name="PivotTable10" cacheId="35" applyNumberFormats="0" applyBorderFormats="0" applyFontFormats="0" applyPatternFormats="0" applyAlignmentFormats="0" applyWidthHeightFormats="1" dataCaption="Values" updatedVersion="8" minRefreshableVersion="3" showCalcMbrs="0" useAutoFormatting="1" itemPrintTitles="1" createdVersion="3" indent="0" multipleFieldFilters="0">
  <location ref="A18:A19" firstHeaderRow="1" firstDataRow="1" firstDataCol="0"/>
  <pivotFields count="13">
    <pivotField showAll="0">
      <items count="5">
        <item x="0"/>
        <item x="1"/>
        <item x="2"/>
        <item x="3"/>
        <item t="default"/>
      </items>
    </pivotField>
    <pivotField showAll="0"/>
    <pivotField showAll="0"/>
    <pivotField numFmtId="14" showAll="0"/>
    <pivotField numFmtId="14" showAll="0"/>
    <pivotField showAll="0"/>
    <pivotField showAll="0"/>
    <pivotField showAll="0"/>
    <pivotField showAll="0"/>
    <pivotField showAll="0"/>
    <pivotField dataField="1" showAll="0"/>
    <pivotField showAll="0"/>
    <pivotField showAll="0"/>
  </pivotFields>
  <rowItems count="1">
    <i/>
  </rowItems>
  <colItems count="1">
    <i/>
  </colItems>
  <dataFields count="1">
    <dataField name="Average Days to Payment" fld="10" subtotal="average" baseField="0"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76A5B8-29D7-0E4B-A260-CB009C00E128}" name="PivotTable9" cacheId="35"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A13:B15" firstHeaderRow="1" firstDataRow="1" firstDataCol="1"/>
  <pivotFields count="13">
    <pivotField compact="0" outline="0" showAll="0">
      <items count="5">
        <item x="0"/>
        <item x="1"/>
        <item x="2"/>
        <item x="3"/>
        <item t="default"/>
      </items>
    </pivotField>
    <pivotField compact="0" outline="0" showAll="0"/>
    <pivotField compact="0" outline="0" showAll="0"/>
    <pivotField compact="0" numFmtId="14" outline="0" showAll="0"/>
    <pivotField compact="0" numFmtId="14" outline="0" showAll="0"/>
    <pivotField compact="0" outline="0" showAll="0"/>
    <pivotField compact="0" outline="0" showAll="0"/>
    <pivotField name="Top Beverage by Revenue" axis="axisRow" compact="0" outline="0" showAll="0" sortType="ascending">
      <items count="7">
        <item h="1" x="0"/>
        <item x="5"/>
        <item h="1" x="1"/>
        <item h="1" x="3"/>
        <item h="1" x="4"/>
        <item h="1" x="2"/>
        <item t="default"/>
      </items>
    </pivotField>
    <pivotField compact="0" outline="0" showAll="0"/>
    <pivotField compact="0" outline="0" showAll="0"/>
    <pivotField compact="0" outline="0" showAll="0"/>
    <pivotField dataField="1" compact="0" outline="0" showAll="0" sortType="descending">
      <autoSortScope>
        <pivotArea dataOnly="0" outline="0" fieldPosition="0">
          <references count="1">
            <reference field="4294967294" count="1" selected="0">
              <x v="0"/>
            </reference>
          </references>
        </pivotArea>
      </autoSortScope>
    </pivotField>
    <pivotField compact="0" outline="0" showAll="0"/>
  </pivotFields>
  <rowFields count="1">
    <field x="7"/>
  </rowFields>
  <rowItems count="2">
    <i>
      <x v="1"/>
    </i>
    <i t="grand">
      <x/>
    </i>
  </rowItems>
  <colItems count="1">
    <i/>
  </colItems>
  <dataFields count="1">
    <dataField name="Total Revenue" fld="11"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D60095B-CB38-7F4F-AFA8-86F2D9707FD9}" name="PivotTable8" cacheId="35" applyNumberFormats="0" applyBorderFormats="0" applyFontFormats="0" applyPatternFormats="0" applyAlignmentFormats="0" applyWidthHeightFormats="1" dataCaption="Values" updatedVersion="8" minRefreshableVersion="3" showCalcMbrs="0" useAutoFormatting="1" itemPrintTitles="1" createdVersion="3" indent="0" multipleFieldFilters="0">
  <location ref="A9:A10" firstHeaderRow="1" firstDataRow="1" firstDataCol="0"/>
  <pivotFields count="13">
    <pivotField showAll="0">
      <items count="5">
        <item x="0"/>
        <item x="1"/>
        <item x="2"/>
        <item x="3"/>
        <item t="default"/>
      </items>
    </pivotField>
    <pivotField showAll="0"/>
    <pivotField showAll="0"/>
    <pivotField numFmtId="14" showAll="0"/>
    <pivotField numFmtId="14" showAll="0"/>
    <pivotField showAll="0"/>
    <pivotField showAll="0"/>
    <pivotField showAll="0"/>
    <pivotField dataField="1" showAll="0"/>
    <pivotField showAll="0"/>
    <pivotField showAll="0"/>
    <pivotField showAll="0"/>
    <pivotField showAll="0"/>
  </pivotFields>
  <rowItems count="1">
    <i/>
  </rowItems>
  <colItems count="1">
    <i/>
  </colItems>
  <dataFields count="1">
    <dataField name="Average Price per Unit" fld="8" subtotal="average"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DA0AC83-4E32-8541-9257-7430D787B6EC}" name="PivotTable7" cacheId="35" applyNumberFormats="0" applyBorderFormats="0" applyFontFormats="0" applyPatternFormats="0" applyAlignmentFormats="0" applyWidthHeightFormats="1" dataCaption="Values" updatedVersion="8" minRefreshableVersion="3" showCalcMbrs="0" useAutoFormatting="1" itemPrintTitles="1" createdVersion="3" indent="0" multipleFieldFilters="0">
  <location ref="A5:A6" firstHeaderRow="1" firstDataRow="1" firstDataCol="0"/>
  <pivotFields count="13">
    <pivotField showAll="0">
      <items count="5">
        <item x="0"/>
        <item x="1"/>
        <item x="2"/>
        <item x="3"/>
        <item t="default"/>
      </items>
    </pivotField>
    <pivotField showAll="0"/>
    <pivotField showAll="0"/>
    <pivotField numFmtId="14" showAll="0"/>
    <pivotField numFmtId="14" showAll="0"/>
    <pivotField showAll="0"/>
    <pivotField showAll="0"/>
    <pivotField showAll="0"/>
    <pivotField showAll="0"/>
    <pivotField dataField="1" showAll="0"/>
    <pivotField showAll="0"/>
    <pivotField showAll="0"/>
    <pivotField showAll="0"/>
  </pivotFields>
  <rowItems count="1">
    <i/>
  </rowItems>
  <colItems count="1">
    <i/>
  </colItems>
  <dataFields count="1">
    <dataField name="Total Units Sold" fld="9" baseField="0" baseItem="0" numFmtId="167"/>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82B0A80-F4DE-FF43-9625-31E5157BF6A9}" name="PivotTable6" cacheId="35" applyNumberFormats="0" applyBorderFormats="0" applyFontFormats="0" applyPatternFormats="0" applyAlignmentFormats="0" applyWidthHeightFormats="1" dataCaption="Values" updatedVersion="8" minRefreshableVersion="3" showCalcMbrs="0" useAutoFormatting="1" itemPrintTitles="1" createdVersion="3" indent="0" multipleFieldFilters="0">
  <location ref="A1:A2" firstHeaderRow="1" firstDataRow="1" firstDataCol="0"/>
  <pivotFields count="13">
    <pivotField showAll="0">
      <items count="5">
        <item x="0"/>
        <item x="1"/>
        <item x="2"/>
        <item x="3"/>
        <item t="default"/>
      </items>
    </pivotField>
    <pivotField showAll="0"/>
    <pivotField showAll="0"/>
    <pivotField numFmtId="14" showAll="0"/>
    <pivotField numFmtId="14" showAll="0"/>
    <pivotField showAll="0"/>
    <pivotField showAll="0"/>
    <pivotField showAll="0"/>
    <pivotField showAll="0"/>
    <pivotField showAll="0"/>
    <pivotField showAll="0"/>
    <pivotField dataField="1" showAll="0"/>
    <pivotField showAll="0"/>
  </pivotFields>
  <rowItems count="1">
    <i/>
  </rowItems>
  <colItems count="1">
    <i/>
  </colItems>
  <dataFields count="1">
    <dataField name="Total Revenue" fld="11"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E936125-3B01-634D-85DD-41D89B6DC805}" name="PivotTable20" cacheId="35" applyNumberFormats="0" applyBorderFormats="0" applyFontFormats="0" applyPatternFormats="0" applyAlignmentFormats="0" applyWidthHeightFormats="1" dataCaption="Values" updatedVersion="8" minRefreshableVersion="3" showCalcMbrs="0" useAutoFormatting="1" itemPrintTitles="1" createdVersion="3" indent="0" multipleFieldFilters="0">
  <location ref="L1:L2" firstHeaderRow="1" firstDataRow="1" firstDataCol="0"/>
  <pivotFields count="13">
    <pivotField showAll="0">
      <items count="5">
        <item x="0"/>
        <item x="1"/>
        <item x="2"/>
        <item x="3"/>
        <item t="default"/>
      </items>
    </pivotField>
    <pivotField showAll="0"/>
    <pivotField showAll="0"/>
    <pivotField numFmtId="14" showAll="0"/>
    <pivotField numFmtId="14" showAll="0"/>
    <pivotField showAll="0"/>
    <pivotField showAll="0"/>
    <pivotField showAll="0"/>
    <pivotField showAll="0"/>
    <pivotField showAll="0"/>
    <pivotField showAll="0"/>
    <pivotField dataField="1" showAll="0"/>
    <pivotField showAll="0"/>
  </pivotFields>
  <rowItems count="1">
    <i/>
  </rowItems>
  <colItems count="1">
    <i/>
  </colItems>
  <dataFields count="1">
    <dataField name="Total Revenue" fld="11"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CC4D2EC-DD59-C145-9034-F5D6F4B2D1C3}" name="PivotTable19" cacheId="35" applyNumberFormats="0" applyBorderFormats="0" applyFontFormats="0" applyPatternFormats="0" applyAlignmentFormats="0" applyWidthHeightFormats="1" dataCaption="Values" updatedVersion="8" minRefreshableVersion="3" showCalcMbrs="0" useAutoFormatting="1" itemPrintTitles="1" createdVersion="3" indent="0" multipleFieldFilters="0">
  <location ref="L5:L6" firstHeaderRow="1" firstDataRow="1" firstDataCol="0"/>
  <pivotFields count="13">
    <pivotField showAll="0">
      <items count="5">
        <item x="0"/>
        <item x="1"/>
        <item x="2"/>
        <item x="3"/>
        <item t="default"/>
      </items>
    </pivotField>
    <pivotField showAll="0"/>
    <pivotField showAll="0"/>
    <pivotField numFmtId="14" showAll="0"/>
    <pivotField numFmtId="14" showAll="0"/>
    <pivotField showAll="0"/>
    <pivotField showAll="0"/>
    <pivotField showAll="0"/>
    <pivotField showAll="0"/>
    <pivotField dataField="1" showAll="0"/>
    <pivotField showAll="0"/>
    <pivotField showAll="0"/>
    <pivotField showAll="0"/>
  </pivotFields>
  <rowItems count="1">
    <i/>
  </rowItems>
  <colItems count="1">
    <i/>
  </colItems>
  <dataFields count="1">
    <dataField name="Total Units Sold" fld="9" baseField="0" baseItem="0" numFmtId="167"/>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DA33BB5-0489-B94C-814E-5E45AD43F509}" name="PivotTable18" cacheId="35" applyNumberFormats="0" applyBorderFormats="0" applyFontFormats="0" applyPatternFormats="0" applyAlignmentFormats="0" applyWidthHeightFormats="1" dataCaption="Values" updatedVersion="8" minRefreshableVersion="3" showCalcMbrs="0" useAutoFormatting="1" itemPrintTitles="1" createdVersion="3" indent="0" multipleFieldFilters="0">
  <location ref="L9:L10" firstHeaderRow="1" firstDataRow="1" firstDataCol="0"/>
  <pivotFields count="13">
    <pivotField showAll="0">
      <items count="5">
        <item x="0"/>
        <item x="1"/>
        <item x="2"/>
        <item x="3"/>
        <item t="default"/>
      </items>
    </pivotField>
    <pivotField showAll="0"/>
    <pivotField showAll="0"/>
    <pivotField numFmtId="14" showAll="0"/>
    <pivotField numFmtId="14" showAll="0"/>
    <pivotField showAll="0"/>
    <pivotField showAll="0"/>
    <pivotField showAll="0"/>
    <pivotField dataField="1" showAll="0"/>
    <pivotField showAll="0"/>
    <pivotField showAll="0"/>
    <pivotField showAll="0"/>
    <pivotField showAll="0"/>
  </pivotFields>
  <rowItems count="1">
    <i/>
  </rowItems>
  <colItems count="1">
    <i/>
  </colItems>
  <dataFields count="1">
    <dataField name="Average Price per Unit" fld="8" subtotal="average"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FBBC800-2364-E64F-B0B1-B6647F092F19}" name="PivotTable17" cacheId="35"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L13:M15" firstHeaderRow="1" firstDataRow="1" firstDataCol="1"/>
  <pivotFields count="13">
    <pivotField compact="0" outline="0" showAll="0">
      <items count="5">
        <item x="0"/>
        <item x="1"/>
        <item x="2"/>
        <item x="3"/>
        <item t="default"/>
      </items>
    </pivotField>
    <pivotField compact="0" outline="0" showAll="0"/>
    <pivotField compact="0" outline="0" showAll="0"/>
    <pivotField compact="0" numFmtId="14" outline="0" showAll="0"/>
    <pivotField compact="0" numFmtId="14" outline="0" showAll="0"/>
    <pivotField compact="0" outline="0" showAll="0"/>
    <pivotField compact="0" outline="0" showAll="0"/>
    <pivotField name="Top Beverage by Revenue" axis="axisRow" compact="0" outline="0" showAll="0">
      <items count="7">
        <item h="1" x="0"/>
        <item x="5"/>
        <item h="1" x="1"/>
        <item h="1" x="3"/>
        <item h="1" x="4"/>
        <item h="1" x="2"/>
        <item t="default"/>
      </items>
    </pivotField>
    <pivotField compact="0" outline="0" showAll="0"/>
    <pivotField compact="0" outline="0" showAll="0"/>
    <pivotField compact="0" outline="0" showAll="0"/>
    <pivotField dataField="1" compact="0" outline="0" showAll="0" sortType="descending">
      <autoSortScope>
        <pivotArea dataOnly="0" outline="0" fieldPosition="0">
          <references count="1">
            <reference field="4294967294" count="1" selected="0">
              <x v="0"/>
            </reference>
          </references>
        </pivotArea>
      </autoSortScope>
    </pivotField>
    <pivotField compact="0" outline="0" showAll="0"/>
  </pivotFields>
  <rowFields count="1">
    <field x="7"/>
  </rowFields>
  <rowItems count="2">
    <i>
      <x v="1"/>
    </i>
    <i t="grand">
      <x/>
    </i>
  </rowItems>
  <colItems count="1">
    <i/>
  </colItems>
  <dataFields count="1">
    <dataField name="Total Revenue" fld="11"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54821F8-5AC4-854F-B7C1-EFBE97E85B33}" name="PivotTable16" cacheId="35" applyNumberFormats="0" applyBorderFormats="0" applyFontFormats="0" applyPatternFormats="0" applyAlignmentFormats="0" applyWidthHeightFormats="1" dataCaption="Values" updatedVersion="8" minRefreshableVersion="3" showCalcMbrs="0" useAutoFormatting="1" itemPrintTitles="1" createdVersion="3" indent="0" multipleFieldFilters="0">
  <location ref="L18:L19" firstHeaderRow="1" firstDataRow="1" firstDataCol="0"/>
  <pivotFields count="13">
    <pivotField showAll="0">
      <items count="5">
        <item x="0"/>
        <item x="1"/>
        <item x="2"/>
        <item x="3"/>
        <item t="default"/>
      </items>
    </pivotField>
    <pivotField showAll="0"/>
    <pivotField showAll="0"/>
    <pivotField numFmtId="14" showAll="0"/>
    <pivotField numFmtId="14" showAll="0"/>
    <pivotField showAll="0"/>
    <pivotField showAll="0"/>
    <pivotField showAll="0"/>
    <pivotField showAll="0"/>
    <pivotField showAll="0"/>
    <pivotField dataField="1" showAll="0"/>
    <pivotField showAll="0"/>
    <pivotField showAll="0"/>
  </pivotFields>
  <rowItems count="1">
    <i/>
  </rowItems>
  <colItems count="1">
    <i/>
  </colItems>
  <dataFields count="1">
    <dataField name="Average Days to Payment" fld="10" subtotal="average" baseField="0"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462BF49-EB9E-7143-BF3F-7017B470597E}" name="PivotTable5" cacheId="34" applyNumberFormats="0" applyBorderFormats="0" applyFontFormats="0" applyPatternFormats="0" applyAlignmentFormats="0" applyWidthHeightFormats="1" dataCaption="Values" updatedVersion="8" minRefreshableVersion="3" showCalcMbrs="0" useAutoFormatting="1" itemPrintTitles="1" createdVersion="3" indent="0" multipleFieldFilters="0" chartFormat="1">
  <location ref="A44:H58" firstHeaderRow="1" firstDataRow="2" firstDataCol="1"/>
  <pivotFields count="13">
    <pivotField showAll="0"/>
    <pivotField showAll="0"/>
    <pivotField showAll="0"/>
    <pivotField numFmtId="14" showAll="0"/>
    <pivotField numFmtId="14" showAll="0"/>
    <pivotField showAll="0"/>
    <pivotField showAll="0"/>
    <pivotField axis="axisCol" showAll="0">
      <items count="7">
        <item x="0"/>
        <item x="5"/>
        <item x="1"/>
        <item x="3"/>
        <item x="4"/>
        <item x="2"/>
        <item t="default"/>
      </items>
    </pivotField>
    <pivotField dataField="1" showAll="0"/>
    <pivotField showAll="0"/>
    <pivotField showAll="0"/>
    <pivotField showAll="0"/>
    <pivotField axis="axisRow" showAll="0">
      <items count="13">
        <item x="11"/>
        <item x="0"/>
        <item x="1"/>
        <item x="2"/>
        <item x="3"/>
        <item x="4"/>
        <item x="5"/>
        <item x="6"/>
        <item x="7"/>
        <item x="8"/>
        <item x="9"/>
        <item x="10"/>
        <item t="default"/>
      </items>
    </pivotField>
  </pivotFields>
  <rowFields count="1">
    <field x="12"/>
  </rowFields>
  <rowItems count="13">
    <i>
      <x/>
    </i>
    <i>
      <x v="1"/>
    </i>
    <i>
      <x v="2"/>
    </i>
    <i>
      <x v="3"/>
    </i>
    <i>
      <x v="4"/>
    </i>
    <i>
      <x v="5"/>
    </i>
    <i>
      <x v="6"/>
    </i>
    <i>
      <x v="7"/>
    </i>
    <i>
      <x v="8"/>
    </i>
    <i>
      <x v="9"/>
    </i>
    <i>
      <x v="10"/>
    </i>
    <i>
      <x v="11"/>
    </i>
    <i t="grand">
      <x/>
    </i>
  </rowItems>
  <colFields count="1">
    <field x="7"/>
  </colFields>
  <colItems count="7">
    <i>
      <x/>
    </i>
    <i>
      <x v="1"/>
    </i>
    <i>
      <x v="2"/>
    </i>
    <i>
      <x v="3"/>
    </i>
    <i>
      <x v="4"/>
    </i>
    <i>
      <x v="5"/>
    </i>
    <i t="grand">
      <x/>
    </i>
  </colItems>
  <dataFields count="1">
    <dataField name="Average Price per Unit" fld="8" subtotal="average" baseField="0" baseItem="0"/>
  </dataFields>
  <chartFormats count="12">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0"/>
          </reference>
          <reference field="7" count="1" selected="0">
            <x v="1"/>
          </reference>
        </references>
      </pivotArea>
    </chartFormat>
    <chartFormat chart="0" format="2" series="1">
      <pivotArea type="data" outline="0" fieldPosition="0">
        <references count="2">
          <reference field="4294967294" count="1" selected="0">
            <x v="0"/>
          </reference>
          <reference field="7" count="1" selected="0">
            <x v="2"/>
          </reference>
        </references>
      </pivotArea>
    </chartFormat>
    <chartFormat chart="0" format="3" series="1">
      <pivotArea type="data" outline="0" fieldPosition="0">
        <references count="2">
          <reference field="4294967294" count="1" selected="0">
            <x v="0"/>
          </reference>
          <reference field="7" count="1" selected="0">
            <x v="3"/>
          </reference>
        </references>
      </pivotArea>
    </chartFormat>
    <chartFormat chart="0" format="4" series="1">
      <pivotArea type="data" outline="0" fieldPosition="0">
        <references count="2">
          <reference field="4294967294" count="1" selected="0">
            <x v="0"/>
          </reference>
          <reference field="7" count="1" selected="0">
            <x v="4"/>
          </reference>
        </references>
      </pivotArea>
    </chartFormat>
    <chartFormat chart="0" format="5" series="1">
      <pivotArea type="data" outline="0" fieldPosition="0">
        <references count="2">
          <reference field="4294967294" count="1" selected="0">
            <x v="0"/>
          </reference>
          <reference field="7" count="1" selected="0">
            <x v="5"/>
          </reference>
        </references>
      </pivotArea>
    </chartFormat>
    <chartFormat chart="2" format="18" series="1">
      <pivotArea type="data" outline="0" fieldPosition="0">
        <references count="2">
          <reference field="4294967294" count="1" selected="0">
            <x v="0"/>
          </reference>
          <reference field="7" count="1" selected="0">
            <x v="0"/>
          </reference>
        </references>
      </pivotArea>
    </chartFormat>
    <chartFormat chart="2" format="19" series="1">
      <pivotArea type="data" outline="0" fieldPosition="0">
        <references count="2">
          <reference field="4294967294" count="1" selected="0">
            <x v="0"/>
          </reference>
          <reference field="7" count="1" selected="0">
            <x v="1"/>
          </reference>
        </references>
      </pivotArea>
    </chartFormat>
    <chartFormat chart="2" format="20" series="1">
      <pivotArea type="data" outline="0" fieldPosition="0">
        <references count="2">
          <reference field="4294967294" count="1" selected="0">
            <x v="0"/>
          </reference>
          <reference field="7" count="1" selected="0">
            <x v="2"/>
          </reference>
        </references>
      </pivotArea>
    </chartFormat>
    <chartFormat chart="2" format="21" series="1">
      <pivotArea type="data" outline="0" fieldPosition="0">
        <references count="2">
          <reference field="4294967294" count="1" selected="0">
            <x v="0"/>
          </reference>
          <reference field="7" count="1" selected="0">
            <x v="3"/>
          </reference>
        </references>
      </pivotArea>
    </chartFormat>
    <chartFormat chart="2" format="22" series="1">
      <pivotArea type="data" outline="0" fieldPosition="0">
        <references count="2">
          <reference field="4294967294" count="1" selected="0">
            <x v="0"/>
          </reference>
          <reference field="7" count="1" selected="0">
            <x v="4"/>
          </reference>
        </references>
      </pivotArea>
    </chartFormat>
    <chartFormat chart="2" format="23" series="1">
      <pivotArea type="data" outline="0" fieldPosition="0">
        <references count="2">
          <reference field="4294967294" count="1" selected="0">
            <x v="0"/>
          </reference>
          <reference field="7"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C9B7A3F-E91D-8D49-B663-9375C7DA7323}" name="PivotTable4" cacheId="34" applyNumberFormats="0" applyBorderFormats="0" applyFontFormats="0" applyPatternFormats="0" applyAlignmentFormats="0" applyWidthHeightFormats="1" dataCaption="Values" updatedVersion="8" minRefreshableVersion="3" showCalcMbrs="0" useAutoFormatting="1" itemPrintTitles="1" createdVersion="3" indent="0" multipleFieldFilters="0" chartFormat="5">
  <location ref="A37:B41" firstHeaderRow="1" firstDataRow="1" firstDataCol="1"/>
  <pivotFields count="13">
    <pivotField showAll="0"/>
    <pivotField showAll="0"/>
    <pivotField showAll="0"/>
    <pivotField numFmtId="14" showAll="0"/>
    <pivotField numFmtId="14" showAll="0"/>
    <pivotField showAll="0"/>
    <pivotField axis="axisRow" showAll="0">
      <items count="4">
        <item x="0"/>
        <item x="2"/>
        <item x="1"/>
        <item t="default"/>
      </items>
    </pivotField>
    <pivotField showAll="0"/>
    <pivotField showAll="0"/>
    <pivotField showAll="0"/>
    <pivotField showAll="0"/>
    <pivotField dataField="1" showAll="0"/>
    <pivotField showAll="0"/>
  </pivotFields>
  <rowFields count="1">
    <field x="6"/>
  </rowFields>
  <rowItems count="4">
    <i>
      <x/>
    </i>
    <i>
      <x v="1"/>
    </i>
    <i>
      <x v="2"/>
    </i>
    <i t="grand">
      <x/>
    </i>
  </rowItems>
  <colItems count="1">
    <i/>
  </colItems>
  <dataFields count="1">
    <dataField name="Total Revenue" fld="11" baseField="0" baseItem="0"/>
  </dataFields>
  <chartFormats count="5">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6" count="1" selected="0">
            <x v="2"/>
          </reference>
        </references>
      </pivotArea>
    </chartFormat>
    <chartFormat chart="3" format="6">
      <pivotArea type="data" outline="0" fieldPosition="0">
        <references count="2">
          <reference field="4294967294" count="1" selected="0">
            <x v="0"/>
          </reference>
          <reference field="6" count="1" selected="0">
            <x v="1"/>
          </reference>
        </references>
      </pivotArea>
    </chartFormat>
    <chartFormat chart="3" format="7">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A102E9A-9A5E-8E44-BF08-A27357C886A8}" name="PivotTable3" cacheId="34" applyNumberFormats="0" applyBorderFormats="0" applyFontFormats="0" applyPatternFormats="0" applyAlignmentFormats="0" applyWidthHeightFormats="1" dataCaption="Values" updatedVersion="8" minRefreshableVersion="3" showCalcMbrs="0" useAutoFormatting="1" itemPrintTitles="1" createdVersion="3" indent="0" multipleFieldFilters="0" chartFormat="1">
  <location ref="A27:B34" firstHeaderRow="1" firstDataRow="1" firstDataCol="1"/>
  <pivotFields count="13">
    <pivotField showAll="0"/>
    <pivotField showAll="0"/>
    <pivotField showAll="0"/>
    <pivotField numFmtId="14" showAll="0"/>
    <pivotField numFmtId="14" showAll="0"/>
    <pivotField showAll="0"/>
    <pivotField showAll="0"/>
    <pivotField axis="axisRow" showAll="0">
      <items count="7">
        <item x="0"/>
        <item x="5"/>
        <item x="1"/>
        <item x="3"/>
        <item x="4"/>
        <item x="2"/>
        <item t="default"/>
      </items>
    </pivotField>
    <pivotField showAll="0"/>
    <pivotField dataField="1" showAll="0"/>
    <pivotField showAll="0"/>
    <pivotField showAll="0"/>
    <pivotField showAll="0"/>
  </pivotFields>
  <rowFields count="1">
    <field x="7"/>
  </rowFields>
  <rowItems count="7">
    <i>
      <x/>
    </i>
    <i>
      <x v="1"/>
    </i>
    <i>
      <x v="2"/>
    </i>
    <i>
      <x v="3"/>
    </i>
    <i>
      <x v="4"/>
    </i>
    <i>
      <x v="5"/>
    </i>
    <i t="grand">
      <x/>
    </i>
  </rowItems>
  <colItems count="1">
    <i/>
  </colItems>
  <dataFields count="1">
    <dataField name="Total Units Sold" fld="9" baseField="0" baseItem="0"/>
  </dataFields>
  <chartFormats count="8">
    <chartFormat chart="0" format="0"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2" format="4">
      <pivotArea type="data" outline="0" fieldPosition="0">
        <references count="2">
          <reference field="4294967294" count="1" selected="0">
            <x v="0"/>
          </reference>
          <reference field="7" count="1" selected="0">
            <x v="5"/>
          </reference>
        </references>
      </pivotArea>
    </chartFormat>
    <chartFormat chart="2" format="5">
      <pivotArea type="data" outline="0" fieldPosition="0">
        <references count="2">
          <reference field="4294967294" count="1" selected="0">
            <x v="0"/>
          </reference>
          <reference field="7" count="1" selected="0">
            <x v="4"/>
          </reference>
        </references>
      </pivotArea>
    </chartFormat>
    <chartFormat chart="2" format="6">
      <pivotArea type="data" outline="0" fieldPosition="0">
        <references count="2">
          <reference field="4294967294" count="1" selected="0">
            <x v="0"/>
          </reference>
          <reference field="7" count="1" selected="0">
            <x v="3"/>
          </reference>
        </references>
      </pivotArea>
    </chartFormat>
    <chartFormat chart="2" format="7">
      <pivotArea type="data" outline="0" fieldPosition="0">
        <references count="2">
          <reference field="4294967294" count="1" selected="0">
            <x v="0"/>
          </reference>
          <reference field="7" count="1" selected="0">
            <x v="2"/>
          </reference>
        </references>
      </pivotArea>
    </chartFormat>
    <chartFormat chart="2" format="8">
      <pivotArea type="data" outline="0" fieldPosition="0">
        <references count="2">
          <reference field="4294967294" count="1" selected="0">
            <x v="0"/>
          </reference>
          <reference field="7" count="1" selected="0">
            <x v="1"/>
          </reference>
        </references>
      </pivotArea>
    </chartFormat>
    <chartFormat chart="2" format="9">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1CD9A74-F4B0-CB47-A19A-449F09484232}" name="PivotTable2" cacheId="34" applyNumberFormats="0" applyBorderFormats="0" applyFontFormats="0" applyPatternFormats="0" applyAlignmentFormats="0" applyWidthHeightFormats="1" dataCaption="Values" updatedVersion="8" minRefreshableVersion="3" showCalcMbrs="0" useAutoFormatting="1" itemPrintTitles="1" createdVersion="3" indent="0" multipleFieldFilters="0" chartFormat="4">
  <location ref="A11:B24" firstHeaderRow="1" firstDataRow="1" firstDataCol="1"/>
  <pivotFields count="13">
    <pivotField showAll="0">
      <items count="5">
        <item x="0"/>
        <item x="1"/>
        <item x="2"/>
        <item x="3"/>
        <item t="default"/>
      </items>
    </pivotField>
    <pivotField showAll="0"/>
    <pivotField showAll="0"/>
    <pivotField numFmtId="14" showAll="0"/>
    <pivotField numFmtId="14" showAll="0"/>
    <pivotField showAll="0"/>
    <pivotField showAll="0"/>
    <pivotField showAll="0"/>
    <pivotField showAll="0"/>
    <pivotField showAll="0"/>
    <pivotField showAll="0"/>
    <pivotField dataField="1" showAll="0"/>
    <pivotField axis="axisRow" showAll="0">
      <items count="13">
        <item x="11"/>
        <item x="0"/>
        <item x="1"/>
        <item x="2"/>
        <item x="3"/>
        <item x="4"/>
        <item x="5"/>
        <item x="6"/>
        <item x="7"/>
        <item x="8"/>
        <item x="9"/>
        <item x="10"/>
        <item t="default"/>
      </items>
    </pivotField>
  </pivotFields>
  <rowFields count="1">
    <field x="12"/>
  </rowFields>
  <rowItems count="13">
    <i>
      <x/>
    </i>
    <i>
      <x v="1"/>
    </i>
    <i>
      <x v="2"/>
    </i>
    <i>
      <x v="3"/>
    </i>
    <i>
      <x v="4"/>
    </i>
    <i>
      <x v="5"/>
    </i>
    <i>
      <x v="6"/>
    </i>
    <i>
      <x v="7"/>
    </i>
    <i>
      <x v="8"/>
    </i>
    <i>
      <x v="9"/>
    </i>
    <i>
      <x v="10"/>
    </i>
    <i>
      <x v="11"/>
    </i>
    <i t="grand">
      <x/>
    </i>
  </rowItems>
  <colItems count="1">
    <i/>
  </colItems>
  <dataFields count="1">
    <dataField name="Total Revenue" fld="11" baseField="0" baseItem="0"/>
  </dataFields>
  <chartFormats count="2">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CAC36ED-38B6-7343-BF07-F2E03535E680}" name="PivotTable1" cacheId="34" applyNumberFormats="0" applyBorderFormats="0" applyFontFormats="0" applyPatternFormats="0" applyAlignmentFormats="0" applyWidthHeightFormats="1" dataCaption="Values" updatedVersion="8" minRefreshableVersion="3" showCalcMbrs="0" useAutoFormatting="1" itemPrintTitles="1" createdVersion="3" indent="0" multipleFieldFilters="0" chartFormat="1">
  <location ref="A1:B8" firstHeaderRow="1" firstDataRow="1" firstDataCol="1"/>
  <pivotFields count="13">
    <pivotField showAll="0">
      <items count="5">
        <item x="0"/>
        <item x="1"/>
        <item x="2"/>
        <item x="3"/>
        <item t="default"/>
      </items>
    </pivotField>
    <pivotField showAll="0"/>
    <pivotField showAll="0"/>
    <pivotField numFmtId="14" showAll="0"/>
    <pivotField numFmtId="14" showAll="0"/>
    <pivotField showAll="0"/>
    <pivotField showAll="0"/>
    <pivotField axis="axisRow" showAll="0">
      <items count="7">
        <item x="0"/>
        <item x="5"/>
        <item x="1"/>
        <item x="3"/>
        <item x="4"/>
        <item x="2"/>
        <item t="default"/>
      </items>
    </pivotField>
    <pivotField showAll="0"/>
    <pivotField showAll="0"/>
    <pivotField showAll="0"/>
    <pivotField dataField="1" showAll="0"/>
    <pivotField showAll="0"/>
  </pivotFields>
  <rowFields count="1">
    <field x="7"/>
  </rowFields>
  <rowItems count="7">
    <i>
      <x/>
    </i>
    <i>
      <x v="1"/>
    </i>
    <i>
      <x v="2"/>
    </i>
    <i>
      <x v="3"/>
    </i>
    <i>
      <x v="4"/>
    </i>
    <i>
      <x v="5"/>
    </i>
    <i t="grand">
      <x/>
    </i>
  </rowItems>
  <colItems count="1">
    <i/>
  </colItems>
  <dataFields count="1">
    <dataField name="Total Revenue" fld="11" baseField="0" baseItem="0"/>
  </dataFields>
  <chartFormats count="8">
    <chartFormat chart="0" format="0"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2" format="4">
      <pivotArea type="data" outline="0" fieldPosition="0">
        <references count="2">
          <reference field="4294967294" count="1" selected="0">
            <x v="0"/>
          </reference>
          <reference field="7" count="1" selected="0">
            <x v="0"/>
          </reference>
        </references>
      </pivotArea>
    </chartFormat>
    <chartFormat chart="2" format="5">
      <pivotArea type="data" outline="0" fieldPosition="0">
        <references count="2">
          <reference field="4294967294" count="1" selected="0">
            <x v="0"/>
          </reference>
          <reference field="7" count="1" selected="0">
            <x v="1"/>
          </reference>
        </references>
      </pivotArea>
    </chartFormat>
    <chartFormat chart="2" format="6">
      <pivotArea type="data" outline="0" fieldPosition="0">
        <references count="2">
          <reference field="4294967294" count="1" selected="0">
            <x v="0"/>
          </reference>
          <reference field="7" count="1" selected="0">
            <x v="2"/>
          </reference>
        </references>
      </pivotArea>
    </chartFormat>
    <chartFormat chart="2" format="7">
      <pivotArea type="data" outline="0" fieldPosition="0">
        <references count="2">
          <reference field="4294967294" count="1" selected="0">
            <x v="0"/>
          </reference>
          <reference field="7" count="1" selected="0">
            <x v="3"/>
          </reference>
        </references>
      </pivotArea>
    </chartFormat>
    <chartFormat chart="2" format="8">
      <pivotArea type="data" outline="0" fieldPosition="0">
        <references count="2">
          <reference field="4294967294" count="1" selected="0">
            <x v="0"/>
          </reference>
          <reference field="7" count="1" selected="0">
            <x v="4"/>
          </reference>
        </references>
      </pivotArea>
    </chartFormat>
    <chartFormat chart="2" format="9">
      <pivotArea type="data" outline="0" fieldPosition="0">
        <references count="2">
          <reference field="4294967294" count="1" selected="0">
            <x v="0"/>
          </reference>
          <reference field="7"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AAB47E01-EBCA-4DE7-8CAF-084E1F09AAF4}" autoFormatId="16" applyNumberFormats="0" applyBorderFormats="0" applyFontFormats="0" applyPatternFormats="0" applyAlignmentFormats="0" applyWidthHeightFormats="0">
  <queryTableRefresh nextId="18">
    <queryTableFields count="13">
      <queryTableField id="2" name="Retailer" tableColumnId="2"/>
      <queryTableField id="3" name="Contact" tableColumnId="3"/>
      <queryTableField id="4" name="Retailer ID" tableColumnId="4"/>
      <queryTableField id="5" name="Order Date" tableColumnId="5"/>
      <queryTableField id="6" name="Payment Date" tableColumnId="6"/>
      <queryTableField id="11" name="Region" tableColumnId="1"/>
      <queryTableField id="12" name="State" tableColumnId="7"/>
      <queryTableField id="8" name="Beverage Brand" tableColumnId="8"/>
      <queryTableField id="9" name="Price per Unit" tableColumnId="9"/>
      <queryTableField id="10" name="Units Sold" tableColumnId="10"/>
      <queryTableField id="13" name="Days to Payment" tableColumnId="11"/>
      <queryTableField id="14" name="Revenue" tableColumnId="12"/>
      <queryTableField id="15" name="Month Name"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tailer1" xr10:uid="{6EFE29C0-F2D8-2C44-ABF8-11735BD4E7D3}" sourceName="Retailer">
  <pivotTables>
    <pivotTable tabId="5" name="PivotTable20"/>
    <pivotTable tabId="5" name="PivotTable16"/>
    <pivotTable tabId="5" name="PivotTable17"/>
    <pivotTable tabId="5" name="PivotTable18"/>
    <pivotTable tabId="5" name="PivotTable19"/>
    <pivotTable tabId="4" name="PivotTable10"/>
    <pivotTable tabId="4" name="PivotTable6"/>
    <pivotTable tabId="4" name="PivotTable7"/>
    <pivotTable tabId="4" name="PivotTable8"/>
    <pivotTable tabId="4" name="PivotTable9"/>
  </pivotTables>
  <data>
    <tabular pivotCacheId="60323487">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tailer 2" xr10:uid="{65E395A5-630B-4742-A632-9E9D767FA06A}" cache="Slicer_Retailer1" columnCount="4" style="SlicerStyleLight5 2"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tailer 1" xr10:uid="{6E4B983B-B364-664F-BD6E-7A0DA5E51545}" cache="Slicer_Retailer1" caption="Retailer" rowHeight="230716"/>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5443008-8E30-49ED-97AB-CB7271D94535}" name="Retailers" displayName="Retailers" ref="A1:M289" tableType="queryTable" totalsRowShown="0">
  <autoFilter ref="A1:M289" xr:uid="{95443008-8E30-49ED-97AB-CB7271D94535}"/>
  <tableColumns count="13">
    <tableColumn id="2" xr3:uid="{8BB35BF3-5379-4F3E-8EF4-93671AF5480E}" uniqueName="2" name="Retailer" queryTableFieldId="2" dataDxfId="17"/>
    <tableColumn id="3" xr3:uid="{C91E02D6-B326-4700-87B1-6A2F49DA257D}" uniqueName="3" name="Contact" queryTableFieldId="3" dataDxfId="16"/>
    <tableColumn id="4" xr3:uid="{86AA26F6-CA9F-4F3E-AD04-32AF3A28653D}" uniqueName="4" name="Retailer ID" queryTableFieldId="4"/>
    <tableColumn id="5" xr3:uid="{6A35EF39-6588-4CDB-B1E7-522E3AD24401}" uniqueName="5" name="Order Date" queryTableFieldId="5" dataDxfId="15"/>
    <tableColumn id="6" xr3:uid="{A65508AB-37FA-4A6F-9621-984E01CB9ED3}" uniqueName="6" name="Payment Date" queryTableFieldId="6" dataDxfId="14"/>
    <tableColumn id="1" xr3:uid="{4FA79140-8576-45CA-98BA-6A90EC1FC371}" uniqueName="1" name="Region" queryTableFieldId="11" dataDxfId="13"/>
    <tableColumn id="7" xr3:uid="{1D01EEC6-61CE-4C02-B551-60AE5F99816F}" uniqueName="7" name="State" queryTableFieldId="12" dataDxfId="12"/>
    <tableColumn id="8" xr3:uid="{9A111D85-F7BC-4E82-8968-91BF9693CA28}" uniqueName="8" name="Beverage Brand" queryTableFieldId="8" dataDxfId="11"/>
    <tableColumn id="9" xr3:uid="{6D9B9A65-B391-458E-911D-2769C4ED733A}" uniqueName="9" name="Price per Unit" queryTableFieldId="9"/>
    <tableColumn id="10" xr3:uid="{86294D8E-1FB2-491A-8E97-81BA3A439FA7}" uniqueName="10" name="Units Sold" queryTableFieldId="10"/>
    <tableColumn id="11" xr3:uid="{ABB58EFC-6B3D-4317-9B51-598D079FAF73}" uniqueName="11" name="Days to Payment" queryTableFieldId="13"/>
    <tableColumn id="12" xr3:uid="{DF454C85-B569-4933-B03C-20BCC83B5548}" uniqueName="12" name="Revenue" queryTableFieldId="14"/>
    <tableColumn id="13" xr3:uid="{7A15D559-3AE3-4629-8A26-8D4B4EDEA5BF}" uniqueName="13" name="Month Name" queryTableFieldId="15" dataDxfId="1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Median">
      <a:dk1>
        <a:sysClr val="windowText" lastClr="000000"/>
      </a:dk1>
      <a:lt1>
        <a:sysClr val="window" lastClr="FFFFFF"/>
      </a:lt1>
      <a:dk2>
        <a:srgbClr val="775F55"/>
      </a:dk2>
      <a:lt2>
        <a:srgbClr val="EBDDC3"/>
      </a:lt2>
      <a:accent1>
        <a:srgbClr val="94B6D2"/>
      </a:accent1>
      <a:accent2>
        <a:srgbClr val="DD8047"/>
      </a:accent2>
      <a:accent3>
        <a:srgbClr val="A5AB81"/>
      </a:accent3>
      <a:accent4>
        <a:srgbClr val="D8B25C"/>
      </a:accent4>
      <a:accent5>
        <a:srgbClr val="7BA79D"/>
      </a:accent5>
      <a:accent6>
        <a:srgbClr val="968C8C"/>
      </a:accent6>
      <a:hlink>
        <a:srgbClr val="F7B615"/>
      </a:hlink>
      <a:folHlink>
        <a:srgbClr val="704404"/>
      </a:folHlink>
    </a:clrScheme>
    <a:fontScheme name="Consolas-Verdana">
      <a:majorFont>
        <a:latin typeface="Consolas" panose="020B0609020204030204"/>
        <a:ea typeface=""/>
        <a:cs typeface=""/>
        <a:font script="Jpan" typeface="HG丸ｺﾞｼｯｸM-PRO"/>
        <a:font script="Hang" typeface="HY중고딕"/>
        <a:font script="Hans" typeface="华文楷体"/>
        <a:font script="Hant" typeface="新細明體"/>
        <a:font script="Arab" typeface="Tahoma"/>
        <a:font script="Hebr" typeface="Levenim MT"/>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Verdana" panose="020B0604030504040204"/>
        <a:ea typeface=""/>
        <a:cs typeface=""/>
        <a:font script="Jpan" typeface="ＭＳ ゴシック"/>
        <a:font script="Hang" typeface="굴림"/>
        <a:font script="Hans" typeface="微软雅黑"/>
        <a:font script="Hant" typeface="微軟正黑體"/>
        <a:font script="Arab" typeface="Tahoma"/>
        <a:font script="Hebr" typeface="Tahoma"/>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13.xml"/><Relationship Id="rId13" Type="http://schemas.openxmlformats.org/officeDocument/2006/relationships/ctrlProp" Target="../ctrlProps/ctrlProp3.xml"/><Relationship Id="rId3" Type="http://schemas.openxmlformats.org/officeDocument/2006/relationships/pivotTable" Target="../pivotTables/pivotTable8.xml"/><Relationship Id="rId7" Type="http://schemas.openxmlformats.org/officeDocument/2006/relationships/pivotTable" Target="../pivotTables/pivotTable12.xml"/><Relationship Id="rId12" Type="http://schemas.openxmlformats.org/officeDocument/2006/relationships/vmlDrawing" Target="../drawings/vmlDrawing2.v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11" Type="http://schemas.openxmlformats.org/officeDocument/2006/relationships/drawing" Target="../drawings/drawing3.xml"/><Relationship Id="rId5" Type="http://schemas.openxmlformats.org/officeDocument/2006/relationships/pivotTable" Target="../pivotTables/pivotTable10.xml"/><Relationship Id="rId10" Type="http://schemas.openxmlformats.org/officeDocument/2006/relationships/pivotTable" Target="../pivotTables/pivotTable15.xml"/><Relationship Id="rId4" Type="http://schemas.openxmlformats.org/officeDocument/2006/relationships/pivotTable" Target="../pivotTables/pivotTable9.xml"/><Relationship Id="rId9" Type="http://schemas.openxmlformats.org/officeDocument/2006/relationships/pivotTable" Target="../pivotTables/pivotTable14.xml"/><Relationship Id="rId1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864FD-A3E6-D444-B9FA-8938CC6A44D0}">
  <sheetPr codeName="Sheet2"/>
  <dimension ref="A1:R50"/>
  <sheetViews>
    <sheetView showGridLines="0" tabSelected="1" zoomScale="99" workbookViewId="0">
      <selection activeCell="S12" sqref="S12"/>
    </sheetView>
  </sheetViews>
  <sheetFormatPr baseColWidth="10" defaultRowHeight="14" x14ac:dyDescent="0.15"/>
  <cols>
    <col min="1" max="16384" width="10.7109375" style="2"/>
  </cols>
  <sheetData>
    <row r="1" spans="1:18" x14ac:dyDescent="0.15">
      <c r="A1" s="9"/>
      <c r="B1" s="9"/>
      <c r="C1" s="9"/>
      <c r="D1" s="9"/>
      <c r="E1" s="9"/>
      <c r="F1" s="9"/>
      <c r="G1" s="9"/>
      <c r="H1" s="9"/>
      <c r="I1" s="9"/>
      <c r="J1" s="9"/>
      <c r="K1" s="9"/>
      <c r="L1" s="9"/>
      <c r="M1" s="9"/>
      <c r="N1" s="9"/>
      <c r="O1" s="9"/>
      <c r="P1" s="9"/>
      <c r="Q1" s="9"/>
      <c r="R1" s="9"/>
    </row>
    <row r="2" spans="1:18" x14ac:dyDescent="0.15">
      <c r="A2" s="9"/>
      <c r="B2" s="9"/>
      <c r="C2" s="9"/>
      <c r="D2" s="9"/>
      <c r="E2" s="9"/>
      <c r="F2" s="9"/>
      <c r="G2" s="9"/>
      <c r="H2" s="9"/>
      <c r="I2" s="9"/>
      <c r="J2" s="9"/>
      <c r="K2" s="9"/>
      <c r="L2" s="9"/>
      <c r="M2" s="9"/>
      <c r="N2" s="9"/>
      <c r="O2" s="9"/>
      <c r="P2" s="9"/>
      <c r="Q2" s="9"/>
      <c r="R2" s="9"/>
    </row>
    <row r="3" spans="1:18" x14ac:dyDescent="0.15">
      <c r="A3" s="9"/>
      <c r="B3" s="9"/>
      <c r="C3" s="9"/>
      <c r="D3" s="9"/>
      <c r="E3" s="9"/>
      <c r="F3" s="9"/>
      <c r="G3" s="9"/>
      <c r="H3" s="9"/>
      <c r="I3" s="9"/>
      <c r="J3" s="9"/>
      <c r="K3" s="9"/>
      <c r="L3" s="9"/>
      <c r="M3" s="9"/>
      <c r="N3" s="9"/>
      <c r="O3" s="9"/>
      <c r="P3" s="9"/>
      <c r="Q3" s="9"/>
      <c r="R3" s="9"/>
    </row>
    <row r="4" spans="1:18" x14ac:dyDescent="0.15">
      <c r="A4" s="9"/>
      <c r="B4" s="10"/>
      <c r="C4" s="10"/>
      <c r="D4" s="10"/>
      <c r="E4" s="10"/>
      <c r="F4" s="10"/>
      <c r="G4" s="10"/>
      <c r="H4" s="10"/>
      <c r="I4" s="10"/>
      <c r="J4" s="10"/>
      <c r="K4" s="10"/>
      <c r="L4" s="10"/>
      <c r="M4" s="10"/>
      <c r="N4" s="10"/>
      <c r="O4" s="10"/>
      <c r="P4" s="10"/>
      <c r="Q4" s="10"/>
      <c r="R4" s="9"/>
    </row>
    <row r="5" spans="1:18" ht="15" customHeight="1" x14ac:dyDescent="0.15">
      <c r="A5" s="9"/>
      <c r="B5" s="10"/>
      <c r="C5" s="10"/>
      <c r="D5" s="10"/>
      <c r="E5" s="10"/>
      <c r="F5" s="10"/>
      <c r="G5" s="10"/>
      <c r="H5" s="10"/>
      <c r="I5" s="10"/>
      <c r="J5" s="10"/>
      <c r="K5" s="10"/>
      <c r="L5" s="10"/>
      <c r="M5" s="10"/>
      <c r="N5" s="10"/>
      <c r="O5" s="10"/>
      <c r="P5" s="10"/>
      <c r="Q5" s="10"/>
      <c r="R5" s="9"/>
    </row>
    <row r="6" spans="1:18" ht="15" customHeight="1" x14ac:dyDescent="0.15">
      <c r="A6" s="9"/>
      <c r="B6" s="10"/>
      <c r="C6" s="10"/>
      <c r="D6" s="10"/>
      <c r="E6" s="10"/>
      <c r="F6" s="10"/>
      <c r="G6" s="10"/>
      <c r="H6" s="10"/>
      <c r="I6" s="10"/>
      <c r="J6" s="10"/>
      <c r="K6" s="10"/>
      <c r="L6" s="10"/>
      <c r="M6" s="10"/>
      <c r="N6" s="10"/>
      <c r="O6" s="10"/>
      <c r="P6" s="10"/>
      <c r="Q6" s="10"/>
      <c r="R6" s="9"/>
    </row>
    <row r="7" spans="1:18" x14ac:dyDescent="0.15">
      <c r="A7" s="9"/>
      <c r="B7" s="9"/>
      <c r="C7" s="9"/>
      <c r="D7" s="9"/>
      <c r="E7" s="9"/>
      <c r="F7" s="9"/>
      <c r="G7" s="9"/>
      <c r="H7" s="9"/>
      <c r="I7" s="9"/>
      <c r="J7" s="9"/>
      <c r="K7" s="9"/>
      <c r="L7" s="9"/>
      <c r="M7" s="9"/>
      <c r="N7" s="9"/>
      <c r="O7" s="9"/>
      <c r="P7" s="9"/>
      <c r="Q7" s="9"/>
      <c r="R7" s="9"/>
    </row>
    <row r="8" spans="1:18" x14ac:dyDescent="0.15">
      <c r="A8" s="9"/>
      <c r="B8" s="9"/>
      <c r="C8" s="9"/>
      <c r="D8" s="9"/>
      <c r="E8" s="9"/>
      <c r="F8" s="9"/>
      <c r="G8" s="9"/>
      <c r="H8" s="9"/>
      <c r="I8" s="9"/>
      <c r="J8" s="9"/>
      <c r="K8" s="9"/>
      <c r="L8" s="9"/>
      <c r="M8" s="9"/>
      <c r="N8" s="9"/>
      <c r="O8" s="9"/>
      <c r="P8" s="9"/>
      <c r="Q8" s="9"/>
      <c r="R8" s="9"/>
    </row>
    <row r="9" spans="1:18" x14ac:dyDescent="0.15">
      <c r="A9" s="9"/>
      <c r="B9" s="9"/>
      <c r="C9" s="9"/>
      <c r="D9" s="9"/>
      <c r="E9" s="9"/>
      <c r="F9" s="9"/>
      <c r="G9" s="9"/>
      <c r="H9" s="9"/>
      <c r="I9" s="9"/>
      <c r="J9" s="9"/>
      <c r="K9" s="9"/>
      <c r="L9" s="9"/>
      <c r="M9" s="9"/>
      <c r="N9" s="9"/>
      <c r="O9" s="9"/>
      <c r="P9" s="9"/>
      <c r="Q9" s="9"/>
      <c r="R9" s="9"/>
    </row>
    <row r="10" spans="1:18" x14ac:dyDescent="0.15">
      <c r="A10" s="9"/>
      <c r="B10" s="9"/>
      <c r="C10" s="9"/>
      <c r="D10" s="9"/>
      <c r="E10" s="9"/>
      <c r="F10" s="9"/>
      <c r="G10" s="9"/>
      <c r="H10" s="9"/>
      <c r="I10" s="9"/>
      <c r="J10" s="9"/>
      <c r="K10" s="9"/>
      <c r="L10" s="9"/>
      <c r="M10" s="9"/>
      <c r="N10" s="9"/>
      <c r="O10" s="9"/>
      <c r="P10" s="9"/>
      <c r="Q10" s="9"/>
      <c r="R10" s="9"/>
    </row>
    <row r="11" spans="1:18" x14ac:dyDescent="0.15">
      <c r="A11" s="11"/>
      <c r="B11" s="11"/>
      <c r="C11" s="11"/>
      <c r="D11" s="11"/>
      <c r="E11" s="11"/>
      <c r="F11" s="11"/>
      <c r="G11" s="11"/>
      <c r="H11" s="11"/>
      <c r="I11" s="11"/>
      <c r="J11" s="11"/>
      <c r="K11" s="11"/>
      <c r="L11" s="11"/>
      <c r="M11" s="11"/>
      <c r="N11" s="11"/>
      <c r="O11" s="11"/>
      <c r="P11" s="11"/>
      <c r="Q11" s="11"/>
      <c r="R11" s="11"/>
    </row>
    <row r="12" spans="1:18" x14ac:dyDescent="0.15">
      <c r="A12" s="11"/>
      <c r="B12" s="11"/>
      <c r="C12" s="11"/>
      <c r="D12" s="11"/>
      <c r="E12" s="11"/>
      <c r="F12" s="11"/>
      <c r="G12" s="11"/>
      <c r="H12" s="11"/>
      <c r="I12" s="11"/>
      <c r="J12" s="11"/>
      <c r="K12" s="11"/>
      <c r="L12" s="11"/>
      <c r="M12" s="11"/>
      <c r="N12" s="11"/>
      <c r="O12" s="11"/>
      <c r="P12" s="11"/>
      <c r="Q12" s="11"/>
      <c r="R12" s="11"/>
    </row>
    <row r="13" spans="1:18" x14ac:dyDescent="0.15">
      <c r="A13" s="11"/>
      <c r="B13" s="11"/>
      <c r="C13" s="11"/>
      <c r="D13" s="11"/>
      <c r="E13" s="11"/>
      <c r="F13" s="11"/>
      <c r="G13" s="11"/>
      <c r="H13" s="11"/>
      <c r="I13" s="11"/>
      <c r="J13" s="11"/>
      <c r="K13" s="11"/>
      <c r="L13" s="11"/>
      <c r="M13" s="11"/>
      <c r="N13" s="11"/>
      <c r="O13" s="11"/>
      <c r="P13" s="11"/>
      <c r="Q13" s="11"/>
      <c r="R13" s="11"/>
    </row>
    <row r="14" spans="1:18" x14ac:dyDescent="0.15">
      <c r="A14" s="11"/>
      <c r="B14" s="11"/>
      <c r="C14" s="11"/>
      <c r="D14" s="11"/>
      <c r="E14" s="11"/>
      <c r="F14" s="11"/>
      <c r="G14" s="11"/>
      <c r="H14" s="11"/>
      <c r="I14" s="11"/>
      <c r="J14" s="11"/>
      <c r="K14" s="11"/>
      <c r="L14" s="11"/>
      <c r="M14" s="11"/>
      <c r="N14" s="11"/>
      <c r="O14" s="11"/>
      <c r="P14" s="11"/>
      <c r="Q14" s="11"/>
      <c r="R14" s="11"/>
    </row>
    <row r="15" spans="1:18" x14ac:dyDescent="0.15">
      <c r="A15" s="11"/>
      <c r="B15" s="11"/>
      <c r="C15" s="11"/>
      <c r="D15" s="11"/>
      <c r="E15" s="11"/>
      <c r="F15" s="11"/>
      <c r="G15" s="11"/>
      <c r="H15" s="11"/>
      <c r="I15" s="11"/>
      <c r="J15" s="11"/>
      <c r="K15" s="11"/>
      <c r="L15" s="11"/>
      <c r="M15" s="11"/>
      <c r="N15" s="11"/>
      <c r="O15" s="11"/>
      <c r="P15" s="11"/>
      <c r="Q15" s="11"/>
      <c r="R15" s="11"/>
    </row>
    <row r="16" spans="1:18" x14ac:dyDescent="0.15">
      <c r="A16" s="11"/>
      <c r="B16" s="11"/>
      <c r="C16" s="11"/>
      <c r="D16" s="11"/>
      <c r="E16" s="11"/>
      <c r="F16" s="11"/>
      <c r="G16" s="11"/>
      <c r="H16" s="11"/>
      <c r="I16" s="11"/>
      <c r="J16" s="11"/>
      <c r="K16" s="11"/>
      <c r="L16" s="11"/>
      <c r="M16" s="11"/>
      <c r="N16" s="11"/>
      <c r="O16" s="11"/>
      <c r="P16" s="11"/>
      <c r="Q16" s="11"/>
      <c r="R16" s="11"/>
    </row>
    <row r="17" spans="1:18" x14ac:dyDescent="0.15">
      <c r="A17" s="11"/>
      <c r="B17" s="11"/>
      <c r="C17" s="11"/>
      <c r="D17" s="11"/>
      <c r="E17" s="11"/>
      <c r="F17" s="11"/>
      <c r="G17" s="11"/>
      <c r="H17" s="11"/>
      <c r="I17" s="11"/>
      <c r="J17" s="11"/>
      <c r="K17" s="11"/>
      <c r="L17" s="11"/>
      <c r="M17" s="11"/>
      <c r="N17" s="11"/>
      <c r="O17" s="11"/>
      <c r="P17" s="11"/>
      <c r="Q17" s="11"/>
      <c r="R17" s="11"/>
    </row>
    <row r="18" spans="1:18" x14ac:dyDescent="0.15">
      <c r="A18" s="11"/>
      <c r="B18" s="11"/>
      <c r="C18" s="11"/>
      <c r="D18" s="11"/>
      <c r="E18" s="11"/>
      <c r="F18" s="11"/>
      <c r="G18" s="11"/>
      <c r="H18" s="11"/>
      <c r="I18" s="11"/>
      <c r="J18" s="11"/>
      <c r="K18" s="11"/>
      <c r="L18" s="11"/>
      <c r="M18" s="11"/>
      <c r="N18" s="11"/>
      <c r="O18" s="11"/>
      <c r="P18" s="11"/>
      <c r="Q18" s="11"/>
      <c r="R18" s="11"/>
    </row>
    <row r="19" spans="1:18" x14ac:dyDescent="0.15">
      <c r="A19" s="11"/>
      <c r="B19" s="11"/>
      <c r="C19" s="11"/>
      <c r="D19" s="11"/>
      <c r="E19" s="11"/>
      <c r="F19" s="11"/>
      <c r="G19" s="11"/>
      <c r="H19" s="11"/>
      <c r="I19" s="11"/>
      <c r="J19" s="11"/>
      <c r="K19" s="11"/>
      <c r="L19" s="11"/>
      <c r="M19" s="11"/>
      <c r="N19" s="11"/>
      <c r="O19" s="11"/>
      <c r="P19" s="11"/>
      <c r="Q19" s="11"/>
      <c r="R19" s="11"/>
    </row>
    <row r="20" spans="1:18" x14ac:dyDescent="0.15">
      <c r="A20" s="11"/>
      <c r="B20" s="11"/>
      <c r="C20" s="11"/>
      <c r="D20" s="11"/>
      <c r="E20" s="11"/>
      <c r="F20" s="11"/>
      <c r="G20" s="11"/>
      <c r="H20" s="11"/>
      <c r="I20" s="11"/>
      <c r="J20" s="11"/>
      <c r="K20" s="11"/>
      <c r="L20" s="11"/>
      <c r="M20" s="11"/>
      <c r="N20" s="11"/>
      <c r="O20" s="11"/>
      <c r="P20" s="11"/>
      <c r="Q20" s="11"/>
      <c r="R20" s="11"/>
    </row>
    <row r="21" spans="1:18" x14ac:dyDescent="0.15">
      <c r="A21" s="11"/>
      <c r="B21" s="11"/>
      <c r="C21" s="11"/>
      <c r="D21" s="11"/>
      <c r="E21" s="11"/>
      <c r="F21" s="11"/>
      <c r="G21" s="11"/>
      <c r="H21" s="11"/>
      <c r="I21" s="11"/>
      <c r="J21" s="11"/>
      <c r="K21" s="11"/>
      <c r="L21" s="11"/>
      <c r="M21" s="11"/>
      <c r="N21" s="11"/>
      <c r="O21" s="11"/>
      <c r="P21" s="11"/>
      <c r="Q21" s="11"/>
      <c r="R21" s="11"/>
    </row>
    <row r="22" spans="1:18" x14ac:dyDescent="0.15">
      <c r="A22" s="11"/>
      <c r="B22" s="11"/>
      <c r="C22" s="11"/>
      <c r="D22" s="11"/>
      <c r="E22" s="11"/>
      <c r="F22" s="11"/>
      <c r="G22" s="11"/>
      <c r="H22" s="11"/>
      <c r="I22" s="11"/>
      <c r="J22" s="11"/>
      <c r="K22" s="11"/>
      <c r="L22" s="11"/>
      <c r="M22" s="11"/>
      <c r="N22" s="11"/>
      <c r="O22" s="11"/>
      <c r="P22" s="11"/>
      <c r="Q22" s="11"/>
      <c r="R22" s="11"/>
    </row>
    <row r="23" spans="1:18" x14ac:dyDescent="0.15">
      <c r="A23" s="11"/>
      <c r="B23" s="11"/>
      <c r="C23" s="11"/>
      <c r="D23" s="11"/>
      <c r="E23" s="11"/>
      <c r="F23" s="11"/>
      <c r="G23" s="11"/>
      <c r="H23" s="11"/>
      <c r="I23" s="11"/>
      <c r="J23" s="11"/>
      <c r="K23" s="11"/>
      <c r="L23" s="11"/>
      <c r="M23" s="11"/>
      <c r="N23" s="11"/>
      <c r="O23" s="11"/>
      <c r="P23" s="11"/>
      <c r="Q23" s="11"/>
      <c r="R23" s="11"/>
    </row>
    <row r="24" spans="1:18" x14ac:dyDescent="0.15">
      <c r="A24" s="11"/>
      <c r="B24" s="11"/>
      <c r="C24" s="11"/>
      <c r="D24" s="11"/>
      <c r="E24" s="11"/>
      <c r="F24" s="11"/>
      <c r="G24" s="11"/>
      <c r="H24" s="11"/>
      <c r="I24" s="11"/>
      <c r="J24" s="11"/>
      <c r="K24" s="11"/>
      <c r="L24" s="11"/>
      <c r="M24" s="11"/>
      <c r="N24" s="11"/>
      <c r="O24" s="11"/>
      <c r="P24" s="11"/>
      <c r="Q24" s="11"/>
      <c r="R24" s="11"/>
    </row>
    <row r="25" spans="1:18" x14ac:dyDescent="0.15">
      <c r="A25" s="11"/>
      <c r="B25" s="11"/>
      <c r="C25" s="11"/>
      <c r="D25" s="11"/>
      <c r="E25" s="11"/>
      <c r="F25" s="11"/>
      <c r="G25" s="11"/>
      <c r="H25" s="11"/>
      <c r="I25" s="11"/>
      <c r="J25" s="11"/>
      <c r="K25" s="11"/>
      <c r="L25" s="11"/>
      <c r="M25" s="11"/>
      <c r="N25" s="11"/>
      <c r="O25" s="11"/>
      <c r="P25" s="11"/>
      <c r="Q25" s="11"/>
      <c r="R25" s="11"/>
    </row>
    <row r="26" spans="1:18" x14ac:dyDescent="0.15">
      <c r="A26" s="11"/>
      <c r="B26" s="11"/>
      <c r="C26" s="11"/>
      <c r="D26" s="11"/>
      <c r="E26" s="11"/>
      <c r="F26" s="11"/>
      <c r="G26" s="11"/>
      <c r="H26" s="11"/>
      <c r="I26" s="11"/>
      <c r="J26" s="11"/>
      <c r="K26" s="11"/>
      <c r="L26" s="11"/>
      <c r="M26" s="11"/>
      <c r="N26" s="11"/>
      <c r="O26" s="11"/>
      <c r="P26" s="11"/>
      <c r="Q26" s="11"/>
      <c r="R26" s="11"/>
    </row>
    <row r="27" spans="1:18" x14ac:dyDescent="0.15">
      <c r="A27" s="11"/>
      <c r="B27" s="11"/>
      <c r="C27" s="11"/>
      <c r="D27" s="11"/>
      <c r="E27" s="11"/>
      <c r="F27" s="11"/>
      <c r="G27" s="11"/>
      <c r="H27" s="11"/>
      <c r="I27" s="11"/>
      <c r="J27" s="11"/>
      <c r="K27" s="11"/>
      <c r="L27" s="11"/>
      <c r="M27" s="11"/>
      <c r="N27" s="11"/>
      <c r="O27" s="11"/>
      <c r="P27" s="11"/>
      <c r="Q27" s="11"/>
      <c r="R27" s="11"/>
    </row>
    <row r="28" spans="1:18" x14ac:dyDescent="0.15">
      <c r="A28" s="11"/>
      <c r="B28" s="11"/>
      <c r="C28" s="11"/>
      <c r="D28" s="11"/>
      <c r="E28" s="11"/>
      <c r="F28" s="11"/>
      <c r="G28" s="11"/>
      <c r="H28" s="11"/>
      <c r="I28" s="11"/>
      <c r="J28" s="11"/>
      <c r="K28" s="11"/>
      <c r="L28" s="11"/>
      <c r="M28" s="11"/>
      <c r="N28" s="11"/>
      <c r="O28" s="11"/>
      <c r="P28" s="11"/>
      <c r="Q28" s="11"/>
      <c r="R28" s="11"/>
    </row>
    <row r="29" spans="1:18" x14ac:dyDescent="0.15">
      <c r="A29" s="11"/>
      <c r="B29" s="11"/>
      <c r="C29" s="11"/>
      <c r="D29" s="11"/>
      <c r="E29" s="11"/>
      <c r="F29" s="11"/>
      <c r="G29" s="11"/>
      <c r="H29" s="11"/>
      <c r="I29" s="11"/>
      <c r="J29" s="11"/>
      <c r="K29" s="11"/>
      <c r="L29" s="11"/>
      <c r="M29" s="11"/>
      <c r="N29" s="11"/>
      <c r="O29" s="11"/>
      <c r="P29" s="11"/>
      <c r="Q29" s="11"/>
      <c r="R29" s="11"/>
    </row>
    <row r="30" spans="1:18" x14ac:dyDescent="0.15">
      <c r="A30" s="11"/>
      <c r="B30" s="11"/>
      <c r="C30" s="11"/>
      <c r="D30" s="11"/>
      <c r="E30" s="11"/>
      <c r="F30" s="11"/>
      <c r="G30" s="11"/>
      <c r="H30" s="11"/>
      <c r="I30" s="11"/>
      <c r="J30" s="11"/>
      <c r="K30" s="11"/>
      <c r="L30" s="11"/>
      <c r="M30" s="11"/>
      <c r="N30" s="11"/>
      <c r="O30" s="11"/>
      <c r="P30" s="11"/>
      <c r="Q30" s="11"/>
      <c r="R30" s="11"/>
    </row>
    <row r="31" spans="1:18" x14ac:dyDescent="0.15">
      <c r="A31" s="11"/>
      <c r="B31" s="11"/>
      <c r="C31" s="11"/>
      <c r="D31" s="11"/>
      <c r="E31" s="11"/>
      <c r="F31" s="11"/>
      <c r="G31" s="11"/>
      <c r="H31" s="11"/>
      <c r="I31" s="11"/>
      <c r="J31" s="11"/>
      <c r="K31" s="11"/>
      <c r="L31" s="11"/>
      <c r="M31" s="11"/>
      <c r="N31" s="11"/>
      <c r="O31" s="11"/>
      <c r="P31" s="11"/>
      <c r="Q31" s="11"/>
      <c r="R31" s="11"/>
    </row>
    <row r="32" spans="1:18" x14ac:dyDescent="0.15">
      <c r="A32" s="11"/>
      <c r="B32" s="11"/>
      <c r="C32" s="11"/>
      <c r="D32" s="11"/>
      <c r="E32" s="11"/>
      <c r="F32" s="11"/>
      <c r="G32" s="11"/>
      <c r="H32" s="11"/>
      <c r="I32" s="11"/>
      <c r="J32" s="11"/>
      <c r="K32" s="11"/>
      <c r="L32" s="11"/>
      <c r="M32" s="11"/>
      <c r="N32" s="11"/>
      <c r="O32" s="11"/>
      <c r="P32" s="11"/>
      <c r="Q32" s="11"/>
      <c r="R32" s="11"/>
    </row>
    <row r="33" spans="1:18" x14ac:dyDescent="0.15">
      <c r="A33" s="11"/>
      <c r="B33" s="11"/>
      <c r="C33" s="11"/>
      <c r="D33" s="11"/>
      <c r="E33" s="11"/>
      <c r="F33" s="11"/>
      <c r="G33" s="11"/>
      <c r="H33" s="11"/>
      <c r="I33" s="11"/>
      <c r="J33" s="11"/>
      <c r="K33" s="11"/>
      <c r="L33" s="11"/>
      <c r="M33" s="11"/>
      <c r="N33" s="11"/>
      <c r="O33" s="11"/>
      <c r="P33" s="11"/>
      <c r="Q33" s="11"/>
      <c r="R33" s="11"/>
    </row>
    <row r="34" spans="1:18" x14ac:dyDescent="0.15">
      <c r="A34" s="11"/>
      <c r="B34" s="11"/>
      <c r="C34" s="11"/>
      <c r="D34" s="11"/>
      <c r="E34" s="11"/>
      <c r="F34" s="11"/>
      <c r="G34" s="11"/>
      <c r="H34" s="11"/>
      <c r="I34" s="11"/>
      <c r="J34" s="11"/>
      <c r="K34" s="11"/>
      <c r="L34" s="11"/>
      <c r="M34" s="11"/>
      <c r="N34" s="11"/>
      <c r="O34" s="11"/>
      <c r="P34" s="11"/>
      <c r="Q34" s="11"/>
      <c r="R34" s="11"/>
    </row>
    <row r="35" spans="1:18" x14ac:dyDescent="0.15">
      <c r="A35" s="11"/>
      <c r="B35" s="11"/>
      <c r="C35" s="11"/>
      <c r="D35" s="11"/>
      <c r="E35" s="11"/>
      <c r="F35" s="11"/>
      <c r="G35" s="11"/>
      <c r="H35" s="11"/>
      <c r="I35" s="11"/>
      <c r="J35" s="11"/>
      <c r="K35" s="11"/>
      <c r="L35" s="11"/>
      <c r="M35" s="11"/>
      <c r="N35" s="11"/>
      <c r="O35" s="11"/>
      <c r="P35" s="11"/>
      <c r="Q35" s="11"/>
      <c r="R35" s="11"/>
    </row>
    <row r="36" spans="1:18" x14ac:dyDescent="0.15">
      <c r="A36" s="11"/>
      <c r="B36" s="11"/>
      <c r="C36" s="11"/>
      <c r="D36" s="11"/>
      <c r="E36" s="11"/>
      <c r="F36" s="11"/>
      <c r="G36" s="11"/>
      <c r="H36" s="11"/>
      <c r="I36" s="11"/>
      <c r="J36" s="11"/>
      <c r="K36" s="11"/>
      <c r="L36" s="11"/>
      <c r="M36" s="11"/>
      <c r="N36" s="11"/>
      <c r="O36" s="11"/>
      <c r="P36" s="11"/>
      <c r="Q36" s="11"/>
      <c r="R36" s="11"/>
    </row>
    <row r="37" spans="1:18" x14ac:dyDescent="0.15">
      <c r="A37" s="11"/>
      <c r="B37" s="11"/>
      <c r="C37" s="11"/>
      <c r="D37" s="11"/>
      <c r="E37" s="11"/>
      <c r="F37" s="11"/>
      <c r="G37" s="11"/>
      <c r="H37" s="11"/>
      <c r="I37" s="11"/>
      <c r="J37" s="11"/>
      <c r="K37" s="11"/>
      <c r="L37" s="11"/>
      <c r="M37" s="11"/>
      <c r="N37" s="11"/>
      <c r="O37" s="11"/>
      <c r="P37" s="11"/>
      <c r="Q37" s="11"/>
      <c r="R37" s="11"/>
    </row>
    <row r="38" spans="1:18" x14ac:dyDescent="0.15">
      <c r="A38" s="11"/>
      <c r="B38" s="11"/>
      <c r="C38" s="11"/>
      <c r="D38" s="11"/>
      <c r="E38" s="11"/>
      <c r="F38" s="11"/>
      <c r="G38" s="11"/>
      <c r="H38" s="11"/>
      <c r="I38" s="11"/>
      <c r="J38" s="11"/>
      <c r="K38" s="11"/>
      <c r="L38" s="11"/>
      <c r="M38" s="11"/>
      <c r="N38" s="11"/>
      <c r="O38" s="11"/>
      <c r="P38" s="11"/>
      <c r="Q38" s="11"/>
      <c r="R38" s="11"/>
    </row>
    <row r="39" spans="1:18" x14ac:dyDescent="0.15">
      <c r="A39" s="11"/>
      <c r="B39" s="11"/>
      <c r="C39" s="11"/>
      <c r="D39" s="11"/>
      <c r="E39" s="11"/>
      <c r="F39" s="11"/>
      <c r="G39" s="11"/>
      <c r="H39" s="11"/>
      <c r="I39" s="11"/>
      <c r="J39" s="11"/>
      <c r="K39" s="11"/>
      <c r="L39" s="11"/>
      <c r="M39" s="11"/>
      <c r="N39" s="11"/>
      <c r="O39" s="11"/>
      <c r="P39" s="11"/>
      <c r="Q39" s="11"/>
      <c r="R39" s="11"/>
    </row>
    <row r="40" spans="1:18" x14ac:dyDescent="0.15">
      <c r="A40" s="11"/>
      <c r="B40" s="11"/>
      <c r="C40" s="11"/>
      <c r="D40" s="11"/>
      <c r="E40" s="11"/>
      <c r="F40" s="11"/>
      <c r="G40" s="11"/>
      <c r="H40" s="11"/>
      <c r="I40" s="11"/>
      <c r="J40" s="11"/>
      <c r="K40" s="11"/>
      <c r="L40" s="11"/>
      <c r="M40" s="11"/>
      <c r="N40" s="11"/>
      <c r="O40" s="11"/>
      <c r="P40" s="11"/>
      <c r="Q40" s="11"/>
      <c r="R40" s="11"/>
    </row>
    <row r="41" spans="1:18" x14ac:dyDescent="0.15">
      <c r="A41" s="11"/>
      <c r="B41" s="11"/>
      <c r="C41" s="11"/>
      <c r="D41" s="11"/>
      <c r="E41" s="11"/>
      <c r="F41" s="11"/>
      <c r="G41" s="11"/>
      <c r="H41" s="11"/>
      <c r="I41" s="11"/>
      <c r="J41" s="11"/>
      <c r="K41" s="11"/>
      <c r="L41" s="11"/>
      <c r="M41" s="11"/>
      <c r="N41" s="11"/>
      <c r="O41" s="11"/>
      <c r="P41" s="11"/>
      <c r="Q41" s="11"/>
      <c r="R41" s="11"/>
    </row>
    <row r="42" spans="1:18" x14ac:dyDescent="0.15">
      <c r="A42" s="11"/>
      <c r="B42" s="11"/>
      <c r="C42" s="11"/>
      <c r="D42" s="11"/>
      <c r="E42" s="11"/>
      <c r="F42" s="11"/>
      <c r="G42" s="11"/>
      <c r="H42" s="11"/>
      <c r="I42" s="11"/>
      <c r="J42" s="11"/>
      <c r="K42" s="11"/>
      <c r="L42" s="11"/>
      <c r="M42" s="11"/>
      <c r="N42" s="11"/>
      <c r="O42" s="11"/>
      <c r="P42" s="11"/>
      <c r="Q42" s="11"/>
      <c r="R42" s="11"/>
    </row>
    <row r="43" spans="1:18" x14ac:dyDescent="0.15">
      <c r="A43" s="11"/>
      <c r="B43" s="11"/>
      <c r="C43" s="11"/>
      <c r="D43" s="11"/>
      <c r="E43" s="11"/>
      <c r="F43" s="11"/>
      <c r="G43" s="11"/>
      <c r="H43" s="11"/>
      <c r="I43" s="11"/>
      <c r="J43" s="11"/>
      <c r="K43" s="11"/>
      <c r="L43" s="11"/>
      <c r="M43" s="11"/>
      <c r="N43" s="11"/>
      <c r="O43" s="11"/>
      <c r="P43" s="11"/>
      <c r="Q43" s="11"/>
      <c r="R43" s="11"/>
    </row>
    <row r="44" spans="1:18" x14ac:dyDescent="0.15">
      <c r="A44" s="11"/>
      <c r="B44" s="11"/>
      <c r="C44" s="11"/>
      <c r="D44" s="11"/>
      <c r="E44" s="11"/>
      <c r="F44" s="11"/>
      <c r="G44" s="11"/>
      <c r="H44" s="11"/>
      <c r="I44" s="11"/>
      <c r="J44" s="11"/>
      <c r="K44" s="11"/>
      <c r="L44" s="11"/>
      <c r="M44" s="11"/>
      <c r="N44" s="11"/>
      <c r="O44" s="11"/>
      <c r="P44" s="11"/>
      <c r="Q44" s="11"/>
      <c r="R44" s="11"/>
    </row>
    <row r="45" spans="1:18" x14ac:dyDescent="0.15">
      <c r="A45" s="11"/>
      <c r="B45" s="11"/>
      <c r="C45" s="11"/>
      <c r="D45" s="11"/>
      <c r="E45" s="11"/>
      <c r="F45" s="11"/>
      <c r="G45" s="11"/>
      <c r="H45" s="11"/>
      <c r="I45" s="11"/>
      <c r="J45" s="11"/>
      <c r="K45" s="11"/>
      <c r="L45" s="11"/>
      <c r="M45" s="11"/>
      <c r="N45" s="11"/>
      <c r="O45" s="11"/>
      <c r="P45" s="11"/>
      <c r="Q45" s="11"/>
      <c r="R45" s="11"/>
    </row>
    <row r="46" spans="1:18" x14ac:dyDescent="0.15">
      <c r="A46" s="11"/>
      <c r="B46" s="11"/>
      <c r="C46" s="11"/>
      <c r="D46" s="11"/>
      <c r="E46" s="11"/>
      <c r="F46" s="11"/>
      <c r="G46" s="11"/>
      <c r="H46" s="11"/>
      <c r="I46" s="11"/>
      <c r="J46" s="11"/>
      <c r="K46" s="11"/>
      <c r="L46" s="11"/>
      <c r="M46" s="11"/>
      <c r="N46" s="11"/>
      <c r="O46" s="11"/>
      <c r="P46" s="11"/>
      <c r="Q46" s="11"/>
      <c r="R46" s="11"/>
    </row>
    <row r="47" spans="1:18" x14ac:dyDescent="0.15">
      <c r="A47" s="11"/>
      <c r="B47" s="11"/>
      <c r="C47" s="11"/>
      <c r="D47" s="11"/>
      <c r="E47" s="11"/>
      <c r="F47" s="11"/>
      <c r="G47" s="11"/>
      <c r="H47" s="11"/>
      <c r="I47" s="11"/>
      <c r="J47" s="11"/>
      <c r="K47" s="11"/>
      <c r="L47" s="11"/>
      <c r="M47" s="11"/>
      <c r="N47" s="11"/>
      <c r="O47" s="11"/>
      <c r="P47" s="11"/>
      <c r="Q47" s="11"/>
      <c r="R47" s="11"/>
    </row>
    <row r="48" spans="1:18" x14ac:dyDescent="0.15">
      <c r="A48" s="11"/>
      <c r="B48" s="11"/>
      <c r="C48" s="11"/>
      <c r="D48" s="11"/>
      <c r="E48" s="11"/>
      <c r="F48" s="11"/>
      <c r="G48" s="11"/>
      <c r="H48" s="11"/>
      <c r="I48" s="11"/>
      <c r="J48" s="11"/>
      <c r="K48" s="11"/>
      <c r="L48" s="11"/>
      <c r="M48" s="11"/>
      <c r="N48" s="11"/>
      <c r="O48" s="11"/>
      <c r="P48" s="11"/>
      <c r="Q48" s="11"/>
      <c r="R48" s="11"/>
    </row>
    <row r="49" spans="1:18" x14ac:dyDescent="0.15">
      <c r="A49" s="11"/>
      <c r="B49" s="11"/>
      <c r="C49" s="11"/>
      <c r="D49" s="11"/>
      <c r="E49" s="11"/>
      <c r="F49" s="11"/>
      <c r="G49" s="11"/>
      <c r="H49" s="11"/>
      <c r="I49" s="11"/>
      <c r="J49" s="11"/>
      <c r="K49" s="11"/>
      <c r="L49" s="11"/>
      <c r="M49" s="11"/>
      <c r="N49" s="11"/>
      <c r="O49" s="11"/>
      <c r="P49" s="11"/>
      <c r="Q49" s="11"/>
      <c r="R49" s="11"/>
    </row>
    <row r="50" spans="1:18" x14ac:dyDescent="0.15">
      <c r="A50" s="11"/>
      <c r="B50" s="11"/>
      <c r="C50" s="11"/>
      <c r="D50" s="11"/>
      <c r="E50" s="11"/>
      <c r="F50" s="11"/>
      <c r="G50" s="11"/>
      <c r="H50" s="11"/>
      <c r="I50" s="11"/>
      <c r="J50" s="11"/>
      <c r="K50" s="11"/>
      <c r="L50" s="11"/>
      <c r="M50" s="11"/>
      <c r="N50" s="11"/>
      <c r="O50" s="11"/>
      <c r="P50" s="11"/>
      <c r="Q50" s="11"/>
      <c r="R50" s="11"/>
    </row>
  </sheetData>
  <mergeCells count="1">
    <mergeCell ref="B4:Q6"/>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93C01-C85E-4994-8C6B-EFE022EE58CB}">
  <sheetPr codeName="Sheet1"/>
  <dimension ref="A1:M289"/>
  <sheetViews>
    <sheetView workbookViewId="0">
      <selection sqref="A1:M1"/>
    </sheetView>
  </sheetViews>
  <sheetFormatPr baseColWidth="10" defaultColWidth="8.7109375" defaultRowHeight="15" x14ac:dyDescent="0.15"/>
  <cols>
    <col min="1" max="2" width="9.5703125" customWidth="1"/>
    <col min="3" max="3" width="11.7109375" customWidth="1"/>
    <col min="4" max="4" width="11.85546875" customWidth="1"/>
    <col min="5" max="5" width="14.5703125" customWidth="1"/>
    <col min="6" max="6" width="8.7109375" customWidth="1"/>
    <col min="7" max="7" width="8.5703125" customWidth="1"/>
    <col min="8" max="8" width="15.85546875" customWidth="1"/>
    <col min="9" max="9" width="14.28515625" customWidth="1"/>
    <col min="10" max="10" width="11.5703125" customWidth="1"/>
    <col min="11" max="11" width="16.85546875" customWidth="1"/>
    <col min="12" max="12" width="10.28515625" customWidth="1"/>
    <col min="13" max="13" width="13.5703125" customWidth="1"/>
    <col min="14" max="14" width="14.28515625" customWidth="1"/>
    <col min="15" max="15" width="10" bestFit="1" customWidth="1"/>
  </cols>
  <sheetData>
    <row r="1" spans="1:13" ht="14" x14ac:dyDescent="0.15">
      <c r="A1" t="s">
        <v>0</v>
      </c>
      <c r="B1" t="s">
        <v>1</v>
      </c>
      <c r="C1" t="s">
        <v>2</v>
      </c>
      <c r="D1" t="s">
        <v>3</v>
      </c>
      <c r="E1" t="s">
        <v>4</v>
      </c>
      <c r="F1" t="s">
        <v>18</v>
      </c>
      <c r="G1" t="s">
        <v>19</v>
      </c>
      <c r="H1" t="s">
        <v>5</v>
      </c>
      <c r="I1" t="s">
        <v>6</v>
      </c>
      <c r="J1" t="s">
        <v>7</v>
      </c>
      <c r="K1" t="s">
        <v>20</v>
      </c>
      <c r="L1" t="s">
        <v>21</v>
      </c>
      <c r="M1" t="s">
        <v>22</v>
      </c>
    </row>
    <row r="2" spans="1:13" ht="14" x14ac:dyDescent="0.15">
      <c r="A2" t="s">
        <v>8</v>
      </c>
      <c r="B2" t="s">
        <v>23</v>
      </c>
      <c r="C2">
        <v>1128299</v>
      </c>
      <c r="D2" s="1">
        <v>44581</v>
      </c>
      <c r="E2" s="1">
        <v>44611</v>
      </c>
      <c r="F2" t="s">
        <v>24</v>
      </c>
      <c r="G2" t="s">
        <v>25</v>
      </c>
      <c r="H2" t="s">
        <v>9</v>
      </c>
      <c r="I2">
        <v>0.39999999999999997</v>
      </c>
      <c r="J2">
        <v>7750</v>
      </c>
      <c r="K2">
        <v>30</v>
      </c>
      <c r="L2">
        <v>3099.9999999999995</v>
      </c>
      <c r="M2" t="s">
        <v>26</v>
      </c>
    </row>
    <row r="3" spans="1:13" ht="14" x14ac:dyDescent="0.15">
      <c r="A3" t="s">
        <v>8</v>
      </c>
      <c r="B3" t="s">
        <v>23</v>
      </c>
      <c r="C3">
        <v>1128299</v>
      </c>
      <c r="D3" s="1">
        <v>44581</v>
      </c>
      <c r="E3" s="1">
        <v>44646</v>
      </c>
      <c r="F3" t="s">
        <v>24</v>
      </c>
      <c r="G3" t="s">
        <v>25</v>
      </c>
      <c r="H3" t="s">
        <v>10</v>
      </c>
      <c r="I3">
        <v>0.5</v>
      </c>
      <c r="J3">
        <v>7750</v>
      </c>
      <c r="K3">
        <v>65</v>
      </c>
      <c r="L3">
        <v>3875</v>
      </c>
      <c r="M3" t="s">
        <v>27</v>
      </c>
    </row>
    <row r="4" spans="1:13" ht="14" x14ac:dyDescent="0.15">
      <c r="A4" t="s">
        <v>8</v>
      </c>
      <c r="B4" t="s">
        <v>23</v>
      </c>
      <c r="C4">
        <v>1128299</v>
      </c>
      <c r="D4" s="1">
        <v>44581</v>
      </c>
      <c r="E4" s="1">
        <v>44646</v>
      </c>
      <c r="F4" t="s">
        <v>24</v>
      </c>
      <c r="G4" t="s">
        <v>25</v>
      </c>
      <c r="H4" t="s">
        <v>11</v>
      </c>
      <c r="I4">
        <v>0.5</v>
      </c>
      <c r="J4">
        <v>7750</v>
      </c>
      <c r="K4">
        <v>65</v>
      </c>
      <c r="L4">
        <v>3875</v>
      </c>
      <c r="M4" t="s">
        <v>27</v>
      </c>
    </row>
    <row r="5" spans="1:13" ht="14" x14ac:dyDescent="0.15">
      <c r="A5" t="s">
        <v>8</v>
      </c>
      <c r="B5" t="s">
        <v>23</v>
      </c>
      <c r="C5">
        <v>1128299</v>
      </c>
      <c r="D5" s="1">
        <v>44581</v>
      </c>
      <c r="E5" s="1">
        <v>44618</v>
      </c>
      <c r="F5" t="s">
        <v>24</v>
      </c>
      <c r="G5" t="s">
        <v>25</v>
      </c>
      <c r="H5" t="s">
        <v>12</v>
      </c>
      <c r="I5">
        <v>0.5</v>
      </c>
      <c r="J5">
        <v>6250</v>
      </c>
      <c r="K5">
        <v>37</v>
      </c>
      <c r="L5">
        <v>3125</v>
      </c>
      <c r="M5" t="s">
        <v>26</v>
      </c>
    </row>
    <row r="6" spans="1:13" ht="14" x14ac:dyDescent="0.15">
      <c r="A6" t="s">
        <v>8</v>
      </c>
      <c r="B6" t="s">
        <v>23</v>
      </c>
      <c r="C6">
        <v>1128299</v>
      </c>
      <c r="D6" s="1">
        <v>44581</v>
      </c>
      <c r="E6" s="1">
        <v>44611</v>
      </c>
      <c r="F6" t="s">
        <v>24</v>
      </c>
      <c r="G6" t="s">
        <v>25</v>
      </c>
      <c r="H6" t="s">
        <v>13</v>
      </c>
      <c r="I6">
        <v>0.55000000000000004</v>
      </c>
      <c r="J6">
        <v>5750</v>
      </c>
      <c r="K6">
        <v>30</v>
      </c>
      <c r="L6">
        <v>3162.5000000000005</v>
      </c>
      <c r="M6" t="s">
        <v>26</v>
      </c>
    </row>
    <row r="7" spans="1:13" ht="14" x14ac:dyDescent="0.15">
      <c r="A7" t="s">
        <v>8</v>
      </c>
      <c r="B7" t="s">
        <v>23</v>
      </c>
      <c r="C7">
        <v>1128299</v>
      </c>
      <c r="D7" s="1">
        <v>44581</v>
      </c>
      <c r="E7" s="1">
        <v>44611</v>
      </c>
      <c r="F7" t="s">
        <v>24</v>
      </c>
      <c r="G7" t="s">
        <v>25</v>
      </c>
      <c r="H7" t="s">
        <v>14</v>
      </c>
      <c r="I7">
        <v>0.5</v>
      </c>
      <c r="J7">
        <v>7750</v>
      </c>
      <c r="K7">
        <v>30</v>
      </c>
      <c r="L7">
        <v>3875</v>
      </c>
      <c r="M7" t="s">
        <v>26</v>
      </c>
    </row>
    <row r="8" spans="1:13" ht="14" x14ac:dyDescent="0.15">
      <c r="A8" t="s">
        <v>8</v>
      </c>
      <c r="B8" t="s">
        <v>23</v>
      </c>
      <c r="C8">
        <v>1128299</v>
      </c>
      <c r="D8" s="1">
        <v>44612</v>
      </c>
      <c r="E8" s="1">
        <v>44642</v>
      </c>
      <c r="F8" t="s">
        <v>24</v>
      </c>
      <c r="G8" t="s">
        <v>25</v>
      </c>
      <c r="H8" t="s">
        <v>9</v>
      </c>
      <c r="I8">
        <v>0.39999999999999997</v>
      </c>
      <c r="J8">
        <v>8250</v>
      </c>
      <c r="K8">
        <v>30</v>
      </c>
      <c r="L8">
        <v>3299.9999999999995</v>
      </c>
      <c r="M8" t="s">
        <v>27</v>
      </c>
    </row>
    <row r="9" spans="1:13" ht="14" x14ac:dyDescent="0.15">
      <c r="A9" t="s">
        <v>8</v>
      </c>
      <c r="B9" t="s">
        <v>23</v>
      </c>
      <c r="C9">
        <v>1128299</v>
      </c>
      <c r="D9" s="1">
        <v>44612</v>
      </c>
      <c r="E9" s="1">
        <v>44642</v>
      </c>
      <c r="F9" t="s">
        <v>24</v>
      </c>
      <c r="G9" t="s">
        <v>25</v>
      </c>
      <c r="H9" t="s">
        <v>10</v>
      </c>
      <c r="I9">
        <v>0.5</v>
      </c>
      <c r="J9">
        <v>7250</v>
      </c>
      <c r="K9">
        <v>30</v>
      </c>
      <c r="L9">
        <v>3625</v>
      </c>
      <c r="M9" t="s">
        <v>27</v>
      </c>
    </row>
    <row r="10" spans="1:13" ht="14" x14ac:dyDescent="0.15">
      <c r="A10" t="s">
        <v>8</v>
      </c>
      <c r="B10" t="s">
        <v>23</v>
      </c>
      <c r="C10">
        <v>1128299</v>
      </c>
      <c r="D10" s="1">
        <v>44612</v>
      </c>
      <c r="E10" s="1">
        <v>44642</v>
      </c>
      <c r="F10" t="s">
        <v>24</v>
      </c>
      <c r="G10" t="s">
        <v>25</v>
      </c>
      <c r="H10" t="s">
        <v>11</v>
      </c>
      <c r="I10">
        <v>0.5</v>
      </c>
      <c r="J10">
        <v>7250</v>
      </c>
      <c r="K10">
        <v>30</v>
      </c>
      <c r="L10">
        <v>3625</v>
      </c>
      <c r="M10" t="s">
        <v>27</v>
      </c>
    </row>
    <row r="11" spans="1:13" ht="14" x14ac:dyDescent="0.15">
      <c r="A11" t="s">
        <v>8</v>
      </c>
      <c r="B11" t="s">
        <v>23</v>
      </c>
      <c r="C11">
        <v>1128299</v>
      </c>
      <c r="D11" s="1">
        <v>44612</v>
      </c>
      <c r="E11" s="1">
        <v>44642</v>
      </c>
      <c r="F11" t="s">
        <v>24</v>
      </c>
      <c r="G11" t="s">
        <v>25</v>
      </c>
      <c r="H11" t="s">
        <v>12</v>
      </c>
      <c r="I11">
        <v>0.5</v>
      </c>
      <c r="J11">
        <v>5750</v>
      </c>
      <c r="K11">
        <v>30</v>
      </c>
      <c r="L11">
        <v>2875</v>
      </c>
      <c r="M11" t="s">
        <v>27</v>
      </c>
    </row>
    <row r="12" spans="1:13" ht="14" x14ac:dyDescent="0.15">
      <c r="A12" t="s">
        <v>8</v>
      </c>
      <c r="B12" t="s">
        <v>23</v>
      </c>
      <c r="C12">
        <v>1128299</v>
      </c>
      <c r="D12" s="1">
        <v>44612</v>
      </c>
      <c r="E12" s="1">
        <v>44645</v>
      </c>
      <c r="F12" t="s">
        <v>24</v>
      </c>
      <c r="G12" t="s">
        <v>25</v>
      </c>
      <c r="H12" t="s">
        <v>13</v>
      </c>
      <c r="I12">
        <v>0.55000000000000004</v>
      </c>
      <c r="J12">
        <v>5000</v>
      </c>
      <c r="K12">
        <v>33</v>
      </c>
      <c r="L12">
        <v>2750</v>
      </c>
      <c r="M12" t="s">
        <v>27</v>
      </c>
    </row>
    <row r="13" spans="1:13" ht="14" x14ac:dyDescent="0.15">
      <c r="A13" t="s">
        <v>8</v>
      </c>
      <c r="B13" t="s">
        <v>23</v>
      </c>
      <c r="C13">
        <v>1128299</v>
      </c>
      <c r="D13" s="1">
        <v>44612</v>
      </c>
      <c r="E13" s="1">
        <v>44642</v>
      </c>
      <c r="F13" t="s">
        <v>24</v>
      </c>
      <c r="G13" t="s">
        <v>25</v>
      </c>
      <c r="H13" t="s">
        <v>14</v>
      </c>
      <c r="I13">
        <v>0.5</v>
      </c>
      <c r="J13">
        <v>7000</v>
      </c>
      <c r="K13">
        <v>30</v>
      </c>
      <c r="L13">
        <v>3500</v>
      </c>
      <c r="M13" t="s">
        <v>27</v>
      </c>
    </row>
    <row r="14" spans="1:13" ht="14" x14ac:dyDescent="0.15">
      <c r="A14" t="s">
        <v>8</v>
      </c>
      <c r="B14" t="s">
        <v>23</v>
      </c>
      <c r="C14">
        <v>1128299</v>
      </c>
      <c r="D14" s="1">
        <v>44639</v>
      </c>
      <c r="E14" s="1">
        <v>44669</v>
      </c>
      <c r="F14" t="s">
        <v>24</v>
      </c>
      <c r="G14" t="s">
        <v>25</v>
      </c>
      <c r="H14" t="s">
        <v>9</v>
      </c>
      <c r="I14">
        <v>0.5</v>
      </c>
      <c r="J14">
        <v>8500</v>
      </c>
      <c r="K14">
        <v>30</v>
      </c>
      <c r="L14">
        <v>4250</v>
      </c>
      <c r="M14" t="s">
        <v>28</v>
      </c>
    </row>
    <row r="15" spans="1:13" ht="14" x14ac:dyDescent="0.15">
      <c r="A15" t="s">
        <v>8</v>
      </c>
      <c r="B15" t="s">
        <v>23</v>
      </c>
      <c r="C15">
        <v>1128299</v>
      </c>
      <c r="D15" s="1">
        <v>44639</v>
      </c>
      <c r="E15" s="1">
        <v>44669</v>
      </c>
      <c r="F15" t="s">
        <v>24</v>
      </c>
      <c r="G15" t="s">
        <v>25</v>
      </c>
      <c r="H15" t="s">
        <v>10</v>
      </c>
      <c r="I15">
        <v>0.6</v>
      </c>
      <c r="J15">
        <v>7000</v>
      </c>
      <c r="K15">
        <v>30</v>
      </c>
      <c r="L15">
        <v>4200</v>
      </c>
      <c r="M15" t="s">
        <v>28</v>
      </c>
    </row>
    <row r="16" spans="1:13" ht="14" x14ac:dyDescent="0.15">
      <c r="A16" t="s">
        <v>8</v>
      </c>
      <c r="B16" t="s">
        <v>23</v>
      </c>
      <c r="C16">
        <v>1128299</v>
      </c>
      <c r="D16" s="1">
        <v>44639</v>
      </c>
      <c r="E16" s="1">
        <v>44669</v>
      </c>
      <c r="F16" t="s">
        <v>24</v>
      </c>
      <c r="G16" t="s">
        <v>25</v>
      </c>
      <c r="H16" t="s">
        <v>11</v>
      </c>
      <c r="I16">
        <v>0.6</v>
      </c>
      <c r="J16">
        <v>7000</v>
      </c>
      <c r="K16">
        <v>30</v>
      </c>
      <c r="L16">
        <v>4200</v>
      </c>
      <c r="M16" t="s">
        <v>28</v>
      </c>
    </row>
    <row r="17" spans="1:13" ht="14" x14ac:dyDescent="0.15">
      <c r="A17" t="s">
        <v>8</v>
      </c>
      <c r="B17" t="s">
        <v>23</v>
      </c>
      <c r="C17">
        <v>1128299</v>
      </c>
      <c r="D17" s="1">
        <v>44639</v>
      </c>
      <c r="E17" s="1">
        <v>44669</v>
      </c>
      <c r="F17" t="s">
        <v>24</v>
      </c>
      <c r="G17" t="s">
        <v>25</v>
      </c>
      <c r="H17" t="s">
        <v>12</v>
      </c>
      <c r="I17">
        <v>0.6</v>
      </c>
      <c r="J17">
        <v>6000</v>
      </c>
      <c r="K17">
        <v>30</v>
      </c>
      <c r="L17">
        <v>3600</v>
      </c>
      <c r="M17" t="s">
        <v>28</v>
      </c>
    </row>
    <row r="18" spans="1:13" ht="14" x14ac:dyDescent="0.15">
      <c r="A18" t="s">
        <v>8</v>
      </c>
      <c r="B18" t="s">
        <v>23</v>
      </c>
      <c r="C18">
        <v>1128299</v>
      </c>
      <c r="D18" s="1">
        <v>44639</v>
      </c>
      <c r="E18" s="1">
        <v>44669</v>
      </c>
      <c r="F18" t="s">
        <v>24</v>
      </c>
      <c r="G18" t="s">
        <v>25</v>
      </c>
      <c r="H18" t="s">
        <v>13</v>
      </c>
      <c r="I18">
        <v>0.65</v>
      </c>
      <c r="J18">
        <v>5000</v>
      </c>
      <c r="K18">
        <v>30</v>
      </c>
      <c r="L18">
        <v>3250</v>
      </c>
      <c r="M18" t="s">
        <v>28</v>
      </c>
    </row>
    <row r="19" spans="1:13" ht="14" x14ac:dyDescent="0.15">
      <c r="A19" t="s">
        <v>8</v>
      </c>
      <c r="B19" t="s">
        <v>23</v>
      </c>
      <c r="C19">
        <v>1128299</v>
      </c>
      <c r="D19" s="1">
        <v>44639</v>
      </c>
      <c r="E19" s="1">
        <v>44669</v>
      </c>
      <c r="F19" t="s">
        <v>24</v>
      </c>
      <c r="G19" t="s">
        <v>25</v>
      </c>
      <c r="H19" t="s">
        <v>14</v>
      </c>
      <c r="I19">
        <v>0.6</v>
      </c>
      <c r="J19">
        <v>7000</v>
      </c>
      <c r="K19">
        <v>30</v>
      </c>
      <c r="L19">
        <v>4200</v>
      </c>
      <c r="M19" t="s">
        <v>28</v>
      </c>
    </row>
    <row r="20" spans="1:13" ht="14" x14ac:dyDescent="0.15">
      <c r="A20" t="s">
        <v>8</v>
      </c>
      <c r="B20" t="s">
        <v>23</v>
      </c>
      <c r="C20">
        <v>1128299</v>
      </c>
      <c r="D20" s="1">
        <v>44671</v>
      </c>
      <c r="E20" s="1">
        <v>44701</v>
      </c>
      <c r="F20" t="s">
        <v>24</v>
      </c>
      <c r="G20" t="s">
        <v>25</v>
      </c>
      <c r="H20" t="s">
        <v>9</v>
      </c>
      <c r="I20">
        <v>0.6</v>
      </c>
      <c r="J20">
        <v>8750</v>
      </c>
      <c r="K20">
        <v>30</v>
      </c>
      <c r="L20">
        <v>5250</v>
      </c>
      <c r="M20" t="s">
        <v>29</v>
      </c>
    </row>
    <row r="21" spans="1:13" ht="14" x14ac:dyDescent="0.15">
      <c r="A21" t="s">
        <v>8</v>
      </c>
      <c r="B21" t="s">
        <v>23</v>
      </c>
      <c r="C21">
        <v>1128299</v>
      </c>
      <c r="D21" s="1">
        <v>44671</v>
      </c>
      <c r="E21" s="1">
        <v>44701</v>
      </c>
      <c r="F21" t="s">
        <v>24</v>
      </c>
      <c r="G21" t="s">
        <v>25</v>
      </c>
      <c r="H21" t="s">
        <v>10</v>
      </c>
      <c r="I21">
        <v>0.65</v>
      </c>
      <c r="J21">
        <v>6750</v>
      </c>
      <c r="K21">
        <v>30</v>
      </c>
      <c r="L21">
        <v>4387.5</v>
      </c>
      <c r="M21" t="s">
        <v>29</v>
      </c>
    </row>
    <row r="22" spans="1:13" ht="14" x14ac:dyDescent="0.15">
      <c r="A22" t="s">
        <v>8</v>
      </c>
      <c r="B22" t="s">
        <v>23</v>
      </c>
      <c r="C22">
        <v>1128299</v>
      </c>
      <c r="D22" s="1">
        <v>44671</v>
      </c>
      <c r="E22" s="1">
        <v>44701</v>
      </c>
      <c r="F22" t="s">
        <v>24</v>
      </c>
      <c r="G22" t="s">
        <v>25</v>
      </c>
      <c r="H22" t="s">
        <v>11</v>
      </c>
      <c r="I22">
        <v>0.65</v>
      </c>
      <c r="J22">
        <v>7250</v>
      </c>
      <c r="K22">
        <v>30</v>
      </c>
      <c r="L22">
        <v>4712.5</v>
      </c>
      <c r="M22" t="s">
        <v>29</v>
      </c>
    </row>
    <row r="23" spans="1:13" ht="14" x14ac:dyDescent="0.15">
      <c r="A23" t="s">
        <v>8</v>
      </c>
      <c r="B23" t="s">
        <v>23</v>
      </c>
      <c r="C23">
        <v>1128299</v>
      </c>
      <c r="D23" s="1">
        <v>44671</v>
      </c>
      <c r="E23" s="1">
        <v>44701</v>
      </c>
      <c r="F23" t="s">
        <v>24</v>
      </c>
      <c r="G23" t="s">
        <v>25</v>
      </c>
      <c r="H23" t="s">
        <v>12</v>
      </c>
      <c r="I23">
        <v>0.6</v>
      </c>
      <c r="J23">
        <v>6250</v>
      </c>
      <c r="K23">
        <v>30</v>
      </c>
      <c r="L23">
        <v>3750</v>
      </c>
      <c r="M23" t="s">
        <v>29</v>
      </c>
    </row>
    <row r="24" spans="1:13" ht="14" x14ac:dyDescent="0.15">
      <c r="A24" t="s">
        <v>8</v>
      </c>
      <c r="B24" t="s">
        <v>23</v>
      </c>
      <c r="C24">
        <v>1128299</v>
      </c>
      <c r="D24" s="1">
        <v>44671</v>
      </c>
      <c r="E24" s="1">
        <v>44701</v>
      </c>
      <c r="F24" t="s">
        <v>24</v>
      </c>
      <c r="G24" t="s">
        <v>25</v>
      </c>
      <c r="H24" t="s">
        <v>13</v>
      </c>
      <c r="I24">
        <v>0.65</v>
      </c>
      <c r="J24">
        <v>5250</v>
      </c>
      <c r="K24">
        <v>30</v>
      </c>
      <c r="L24">
        <v>3412.5</v>
      </c>
      <c r="M24" t="s">
        <v>29</v>
      </c>
    </row>
    <row r="25" spans="1:13" ht="14" x14ac:dyDescent="0.15">
      <c r="A25" t="s">
        <v>8</v>
      </c>
      <c r="B25" t="s">
        <v>23</v>
      </c>
      <c r="C25">
        <v>1128299</v>
      </c>
      <c r="D25" s="1">
        <v>44671</v>
      </c>
      <c r="E25" s="1">
        <v>44701</v>
      </c>
      <c r="F25" t="s">
        <v>24</v>
      </c>
      <c r="G25" t="s">
        <v>25</v>
      </c>
      <c r="H25" t="s">
        <v>14</v>
      </c>
      <c r="I25">
        <v>0.8</v>
      </c>
      <c r="J25">
        <v>7000</v>
      </c>
      <c r="K25">
        <v>30</v>
      </c>
      <c r="L25">
        <v>5600</v>
      </c>
      <c r="M25" t="s">
        <v>29</v>
      </c>
    </row>
    <row r="26" spans="1:13" ht="14" x14ac:dyDescent="0.15">
      <c r="A26" t="s">
        <v>8</v>
      </c>
      <c r="B26" t="s">
        <v>23</v>
      </c>
      <c r="C26">
        <v>1128299</v>
      </c>
      <c r="D26" s="1">
        <v>44702</v>
      </c>
      <c r="E26" s="1">
        <v>44732</v>
      </c>
      <c r="F26" t="s">
        <v>24</v>
      </c>
      <c r="G26" t="s">
        <v>25</v>
      </c>
      <c r="H26" t="s">
        <v>9</v>
      </c>
      <c r="I26">
        <v>0.6</v>
      </c>
      <c r="J26">
        <v>9000</v>
      </c>
      <c r="K26">
        <v>30</v>
      </c>
      <c r="L26">
        <v>5400</v>
      </c>
      <c r="M26" t="s">
        <v>30</v>
      </c>
    </row>
    <row r="27" spans="1:13" ht="14" x14ac:dyDescent="0.15">
      <c r="A27" t="s">
        <v>8</v>
      </c>
      <c r="B27" t="s">
        <v>23</v>
      </c>
      <c r="C27">
        <v>1128299</v>
      </c>
      <c r="D27" s="1">
        <v>44702</v>
      </c>
      <c r="E27" s="1">
        <v>44732</v>
      </c>
      <c r="F27" t="s">
        <v>24</v>
      </c>
      <c r="G27" t="s">
        <v>25</v>
      </c>
      <c r="H27" t="s">
        <v>10</v>
      </c>
      <c r="I27">
        <v>0.65</v>
      </c>
      <c r="J27">
        <v>7500</v>
      </c>
      <c r="K27">
        <v>30</v>
      </c>
      <c r="L27">
        <v>4875</v>
      </c>
      <c r="M27" t="s">
        <v>30</v>
      </c>
    </row>
    <row r="28" spans="1:13" ht="14" x14ac:dyDescent="0.15">
      <c r="A28" t="s">
        <v>8</v>
      </c>
      <c r="B28" t="s">
        <v>23</v>
      </c>
      <c r="C28">
        <v>1128299</v>
      </c>
      <c r="D28" s="1">
        <v>44702</v>
      </c>
      <c r="E28" s="1">
        <v>44732</v>
      </c>
      <c r="F28" t="s">
        <v>24</v>
      </c>
      <c r="G28" t="s">
        <v>25</v>
      </c>
      <c r="H28" t="s">
        <v>11</v>
      </c>
      <c r="I28">
        <v>0.65</v>
      </c>
      <c r="J28">
        <v>7500</v>
      </c>
      <c r="K28">
        <v>30</v>
      </c>
      <c r="L28">
        <v>4875</v>
      </c>
      <c r="M28" t="s">
        <v>30</v>
      </c>
    </row>
    <row r="29" spans="1:13" ht="14" x14ac:dyDescent="0.15">
      <c r="A29" t="s">
        <v>8</v>
      </c>
      <c r="B29" t="s">
        <v>23</v>
      </c>
      <c r="C29">
        <v>1128299</v>
      </c>
      <c r="D29" s="1">
        <v>44702</v>
      </c>
      <c r="E29" s="1">
        <v>44732</v>
      </c>
      <c r="F29" t="s">
        <v>24</v>
      </c>
      <c r="G29" t="s">
        <v>25</v>
      </c>
      <c r="H29" t="s">
        <v>12</v>
      </c>
      <c r="I29">
        <v>0.6</v>
      </c>
      <c r="J29">
        <v>6500</v>
      </c>
      <c r="K29">
        <v>30</v>
      </c>
      <c r="L29">
        <v>3900</v>
      </c>
      <c r="M29" t="s">
        <v>30</v>
      </c>
    </row>
    <row r="30" spans="1:13" ht="14" x14ac:dyDescent="0.15">
      <c r="A30" t="s">
        <v>8</v>
      </c>
      <c r="B30" t="s">
        <v>23</v>
      </c>
      <c r="C30">
        <v>1128299</v>
      </c>
      <c r="D30" s="1">
        <v>44702</v>
      </c>
      <c r="E30" s="1">
        <v>44732</v>
      </c>
      <c r="F30" t="s">
        <v>24</v>
      </c>
      <c r="G30" t="s">
        <v>25</v>
      </c>
      <c r="H30" t="s">
        <v>13</v>
      </c>
      <c r="I30">
        <v>0.65</v>
      </c>
      <c r="J30">
        <v>5500</v>
      </c>
      <c r="K30">
        <v>30</v>
      </c>
      <c r="L30">
        <v>3575</v>
      </c>
      <c r="M30" t="s">
        <v>30</v>
      </c>
    </row>
    <row r="31" spans="1:13" ht="14" x14ac:dyDescent="0.15">
      <c r="A31" t="s">
        <v>8</v>
      </c>
      <c r="B31" t="s">
        <v>23</v>
      </c>
      <c r="C31">
        <v>1128299</v>
      </c>
      <c r="D31" s="1">
        <v>44702</v>
      </c>
      <c r="E31" s="1">
        <v>44732</v>
      </c>
      <c r="F31" t="s">
        <v>24</v>
      </c>
      <c r="G31" t="s">
        <v>25</v>
      </c>
      <c r="H31" t="s">
        <v>14</v>
      </c>
      <c r="I31">
        <v>0.8</v>
      </c>
      <c r="J31">
        <v>7250</v>
      </c>
      <c r="K31">
        <v>30</v>
      </c>
      <c r="L31">
        <v>5800</v>
      </c>
      <c r="M31" t="s">
        <v>30</v>
      </c>
    </row>
    <row r="32" spans="1:13" ht="14" x14ac:dyDescent="0.15">
      <c r="A32" t="s">
        <v>8</v>
      </c>
      <c r="B32" t="s">
        <v>23</v>
      </c>
      <c r="C32">
        <v>1128299</v>
      </c>
      <c r="D32" s="1">
        <v>44732</v>
      </c>
      <c r="E32" s="1">
        <v>44762</v>
      </c>
      <c r="F32" t="s">
        <v>24</v>
      </c>
      <c r="G32" t="s">
        <v>25</v>
      </c>
      <c r="H32" t="s">
        <v>9</v>
      </c>
      <c r="I32">
        <v>0.6</v>
      </c>
      <c r="J32">
        <v>9750</v>
      </c>
      <c r="K32">
        <v>30</v>
      </c>
      <c r="L32">
        <v>5850</v>
      </c>
      <c r="M32" t="s">
        <v>31</v>
      </c>
    </row>
    <row r="33" spans="1:13" ht="14" x14ac:dyDescent="0.15">
      <c r="A33" t="s">
        <v>8</v>
      </c>
      <c r="B33" t="s">
        <v>23</v>
      </c>
      <c r="C33">
        <v>1128299</v>
      </c>
      <c r="D33" s="1">
        <v>44732</v>
      </c>
      <c r="E33" s="1">
        <v>44762</v>
      </c>
      <c r="F33" t="s">
        <v>24</v>
      </c>
      <c r="G33" t="s">
        <v>25</v>
      </c>
      <c r="H33" t="s">
        <v>10</v>
      </c>
      <c r="I33">
        <v>0.65</v>
      </c>
      <c r="J33">
        <v>8250</v>
      </c>
      <c r="K33">
        <v>30</v>
      </c>
      <c r="L33">
        <v>5362.5</v>
      </c>
      <c r="M33" t="s">
        <v>31</v>
      </c>
    </row>
    <row r="34" spans="1:13" ht="14" x14ac:dyDescent="0.15">
      <c r="A34" t="s">
        <v>8</v>
      </c>
      <c r="B34" t="s">
        <v>23</v>
      </c>
      <c r="C34">
        <v>1128299</v>
      </c>
      <c r="D34" s="1">
        <v>44732</v>
      </c>
      <c r="E34" s="1">
        <v>44762</v>
      </c>
      <c r="F34" t="s">
        <v>24</v>
      </c>
      <c r="G34" t="s">
        <v>25</v>
      </c>
      <c r="H34" t="s">
        <v>11</v>
      </c>
      <c r="I34">
        <v>0.65</v>
      </c>
      <c r="J34">
        <v>8250</v>
      </c>
      <c r="K34">
        <v>30</v>
      </c>
      <c r="L34">
        <v>5362.5</v>
      </c>
      <c r="M34" t="s">
        <v>31</v>
      </c>
    </row>
    <row r="35" spans="1:13" ht="14" x14ac:dyDescent="0.15">
      <c r="A35" t="s">
        <v>8</v>
      </c>
      <c r="B35" t="s">
        <v>23</v>
      </c>
      <c r="C35">
        <v>1128299</v>
      </c>
      <c r="D35" s="1">
        <v>44732</v>
      </c>
      <c r="E35" s="1">
        <v>44762</v>
      </c>
      <c r="F35" t="s">
        <v>24</v>
      </c>
      <c r="G35" t="s">
        <v>25</v>
      </c>
      <c r="H35" t="s">
        <v>12</v>
      </c>
      <c r="I35">
        <v>0.6</v>
      </c>
      <c r="J35">
        <v>7000</v>
      </c>
      <c r="K35">
        <v>30</v>
      </c>
      <c r="L35">
        <v>4200</v>
      </c>
      <c r="M35" t="s">
        <v>31</v>
      </c>
    </row>
    <row r="36" spans="1:13" ht="14" x14ac:dyDescent="0.15">
      <c r="A36" t="s">
        <v>8</v>
      </c>
      <c r="B36" t="s">
        <v>23</v>
      </c>
      <c r="C36">
        <v>1128299</v>
      </c>
      <c r="D36" s="1">
        <v>44732</v>
      </c>
      <c r="E36" s="1">
        <v>44762</v>
      </c>
      <c r="F36" t="s">
        <v>24</v>
      </c>
      <c r="G36" t="s">
        <v>25</v>
      </c>
      <c r="H36" t="s">
        <v>13</v>
      </c>
      <c r="I36">
        <v>0.65</v>
      </c>
      <c r="J36">
        <v>5750</v>
      </c>
      <c r="K36">
        <v>30</v>
      </c>
      <c r="L36">
        <v>3737.5</v>
      </c>
      <c r="M36" t="s">
        <v>31</v>
      </c>
    </row>
    <row r="37" spans="1:13" ht="14" x14ac:dyDescent="0.15">
      <c r="A37" t="s">
        <v>8</v>
      </c>
      <c r="B37" t="s">
        <v>23</v>
      </c>
      <c r="C37">
        <v>1128299</v>
      </c>
      <c r="D37" s="1">
        <v>44732</v>
      </c>
      <c r="E37" s="1">
        <v>44762</v>
      </c>
      <c r="F37" t="s">
        <v>24</v>
      </c>
      <c r="G37" t="s">
        <v>25</v>
      </c>
      <c r="H37" t="s">
        <v>14</v>
      </c>
      <c r="I37">
        <v>0.8</v>
      </c>
      <c r="J37">
        <v>8750</v>
      </c>
      <c r="K37">
        <v>30</v>
      </c>
      <c r="L37">
        <v>7000</v>
      </c>
      <c r="M37" t="s">
        <v>31</v>
      </c>
    </row>
    <row r="38" spans="1:13" ht="14" x14ac:dyDescent="0.15">
      <c r="A38" t="s">
        <v>8</v>
      </c>
      <c r="B38" t="s">
        <v>23</v>
      </c>
      <c r="C38">
        <v>1128299</v>
      </c>
      <c r="D38" s="1">
        <v>44761</v>
      </c>
      <c r="E38" s="1">
        <v>44791</v>
      </c>
      <c r="F38" t="s">
        <v>24</v>
      </c>
      <c r="G38" t="s">
        <v>25</v>
      </c>
      <c r="H38" t="s">
        <v>9</v>
      </c>
      <c r="I38">
        <v>0.6</v>
      </c>
      <c r="J38">
        <v>10250</v>
      </c>
      <c r="K38">
        <v>30</v>
      </c>
      <c r="L38">
        <v>6150</v>
      </c>
      <c r="M38" t="s">
        <v>32</v>
      </c>
    </row>
    <row r="39" spans="1:13" ht="14" x14ac:dyDescent="0.15">
      <c r="A39" t="s">
        <v>8</v>
      </c>
      <c r="B39" t="s">
        <v>23</v>
      </c>
      <c r="C39">
        <v>1128299</v>
      </c>
      <c r="D39" s="1">
        <v>44761</v>
      </c>
      <c r="E39" s="1">
        <v>44791</v>
      </c>
      <c r="F39" t="s">
        <v>24</v>
      </c>
      <c r="G39" t="s">
        <v>25</v>
      </c>
      <c r="H39" t="s">
        <v>10</v>
      </c>
      <c r="I39">
        <v>0.65</v>
      </c>
      <c r="J39">
        <v>8750</v>
      </c>
      <c r="K39">
        <v>30</v>
      </c>
      <c r="L39">
        <v>5687.5</v>
      </c>
      <c r="M39" t="s">
        <v>32</v>
      </c>
    </row>
    <row r="40" spans="1:13" ht="14" x14ac:dyDescent="0.15">
      <c r="A40" t="s">
        <v>8</v>
      </c>
      <c r="B40" t="s">
        <v>23</v>
      </c>
      <c r="C40">
        <v>1128299</v>
      </c>
      <c r="D40" s="1">
        <v>44761</v>
      </c>
      <c r="E40" s="1">
        <v>44791</v>
      </c>
      <c r="F40" t="s">
        <v>24</v>
      </c>
      <c r="G40" t="s">
        <v>25</v>
      </c>
      <c r="H40" t="s">
        <v>11</v>
      </c>
      <c r="I40">
        <v>0.65</v>
      </c>
      <c r="J40">
        <v>8250</v>
      </c>
      <c r="K40">
        <v>30</v>
      </c>
      <c r="L40">
        <v>5362.5</v>
      </c>
      <c r="M40" t="s">
        <v>32</v>
      </c>
    </row>
    <row r="41" spans="1:13" ht="14" x14ac:dyDescent="0.15">
      <c r="A41" t="s">
        <v>8</v>
      </c>
      <c r="B41" t="s">
        <v>23</v>
      </c>
      <c r="C41">
        <v>1128299</v>
      </c>
      <c r="D41" s="1">
        <v>44761</v>
      </c>
      <c r="E41" s="1">
        <v>44791</v>
      </c>
      <c r="F41" t="s">
        <v>24</v>
      </c>
      <c r="G41" t="s">
        <v>25</v>
      </c>
      <c r="H41" t="s">
        <v>12</v>
      </c>
      <c r="I41">
        <v>0.6</v>
      </c>
      <c r="J41">
        <v>7250</v>
      </c>
      <c r="K41">
        <v>30</v>
      </c>
      <c r="L41">
        <v>4350</v>
      </c>
      <c r="M41" t="s">
        <v>32</v>
      </c>
    </row>
    <row r="42" spans="1:13" ht="14" x14ac:dyDescent="0.15">
      <c r="A42" t="s">
        <v>8</v>
      </c>
      <c r="B42" t="s">
        <v>23</v>
      </c>
      <c r="C42">
        <v>1128299</v>
      </c>
      <c r="D42" s="1">
        <v>44761</v>
      </c>
      <c r="E42" s="1">
        <v>44791</v>
      </c>
      <c r="F42" t="s">
        <v>24</v>
      </c>
      <c r="G42" t="s">
        <v>25</v>
      </c>
      <c r="H42" t="s">
        <v>13</v>
      </c>
      <c r="I42">
        <v>0.65</v>
      </c>
      <c r="J42">
        <v>7750</v>
      </c>
      <c r="K42">
        <v>30</v>
      </c>
      <c r="L42">
        <v>5037.5</v>
      </c>
      <c r="M42" t="s">
        <v>32</v>
      </c>
    </row>
    <row r="43" spans="1:13" ht="14" x14ac:dyDescent="0.15">
      <c r="A43" t="s">
        <v>8</v>
      </c>
      <c r="B43" t="s">
        <v>23</v>
      </c>
      <c r="C43">
        <v>1128299</v>
      </c>
      <c r="D43" s="1">
        <v>44761</v>
      </c>
      <c r="E43" s="1">
        <v>44791</v>
      </c>
      <c r="F43" t="s">
        <v>24</v>
      </c>
      <c r="G43" t="s">
        <v>25</v>
      </c>
      <c r="H43" t="s">
        <v>14</v>
      </c>
      <c r="I43">
        <v>0.8</v>
      </c>
      <c r="J43">
        <v>7750</v>
      </c>
      <c r="K43">
        <v>30</v>
      </c>
      <c r="L43">
        <v>6200</v>
      </c>
      <c r="M43" t="s">
        <v>32</v>
      </c>
    </row>
    <row r="44" spans="1:13" ht="14" x14ac:dyDescent="0.15">
      <c r="A44" t="s">
        <v>8</v>
      </c>
      <c r="B44" t="s">
        <v>23</v>
      </c>
      <c r="C44">
        <v>1128299</v>
      </c>
      <c r="D44" s="1">
        <v>44793</v>
      </c>
      <c r="E44" s="1">
        <v>44823</v>
      </c>
      <c r="F44" t="s">
        <v>24</v>
      </c>
      <c r="G44" t="s">
        <v>25</v>
      </c>
      <c r="H44" t="s">
        <v>9</v>
      </c>
      <c r="I44">
        <v>0.65</v>
      </c>
      <c r="J44">
        <v>9750</v>
      </c>
      <c r="K44">
        <v>30</v>
      </c>
      <c r="L44">
        <v>6337.5</v>
      </c>
      <c r="M44" t="s">
        <v>33</v>
      </c>
    </row>
    <row r="45" spans="1:13" ht="14" x14ac:dyDescent="0.15">
      <c r="A45" t="s">
        <v>8</v>
      </c>
      <c r="B45" t="s">
        <v>23</v>
      </c>
      <c r="C45">
        <v>1128299</v>
      </c>
      <c r="D45" s="1">
        <v>44793</v>
      </c>
      <c r="E45" s="1">
        <v>44823</v>
      </c>
      <c r="F45" t="s">
        <v>24</v>
      </c>
      <c r="G45" t="s">
        <v>25</v>
      </c>
      <c r="H45" t="s">
        <v>10</v>
      </c>
      <c r="I45">
        <v>0.70000000000000007</v>
      </c>
      <c r="J45">
        <v>9250</v>
      </c>
      <c r="K45">
        <v>30</v>
      </c>
      <c r="L45">
        <v>6475.0000000000009</v>
      </c>
      <c r="M45" t="s">
        <v>33</v>
      </c>
    </row>
    <row r="46" spans="1:13" ht="14" x14ac:dyDescent="0.15">
      <c r="A46" t="s">
        <v>8</v>
      </c>
      <c r="B46" t="s">
        <v>23</v>
      </c>
      <c r="C46">
        <v>1128299</v>
      </c>
      <c r="D46" s="1">
        <v>44793</v>
      </c>
      <c r="E46" s="1">
        <v>44823</v>
      </c>
      <c r="F46" t="s">
        <v>24</v>
      </c>
      <c r="G46" t="s">
        <v>25</v>
      </c>
      <c r="H46" t="s">
        <v>11</v>
      </c>
      <c r="I46">
        <v>0.65</v>
      </c>
      <c r="J46">
        <v>8000</v>
      </c>
      <c r="K46">
        <v>30</v>
      </c>
      <c r="L46">
        <v>5200</v>
      </c>
      <c r="M46" t="s">
        <v>33</v>
      </c>
    </row>
    <row r="47" spans="1:13" ht="14" x14ac:dyDescent="0.15">
      <c r="A47" t="s">
        <v>8</v>
      </c>
      <c r="B47" t="s">
        <v>23</v>
      </c>
      <c r="C47">
        <v>1128299</v>
      </c>
      <c r="D47" s="1">
        <v>44793</v>
      </c>
      <c r="E47" s="1">
        <v>44823</v>
      </c>
      <c r="F47" t="s">
        <v>24</v>
      </c>
      <c r="G47" t="s">
        <v>25</v>
      </c>
      <c r="H47" t="s">
        <v>12</v>
      </c>
      <c r="I47">
        <v>0.65</v>
      </c>
      <c r="J47">
        <v>7500</v>
      </c>
      <c r="K47">
        <v>30</v>
      </c>
      <c r="L47">
        <v>4875</v>
      </c>
      <c r="M47" t="s">
        <v>33</v>
      </c>
    </row>
    <row r="48" spans="1:13" ht="14" x14ac:dyDescent="0.15">
      <c r="A48" t="s">
        <v>8</v>
      </c>
      <c r="B48" t="s">
        <v>23</v>
      </c>
      <c r="C48">
        <v>1128299</v>
      </c>
      <c r="D48" s="1">
        <v>44793</v>
      </c>
      <c r="E48" s="1">
        <v>44823</v>
      </c>
      <c r="F48" t="s">
        <v>24</v>
      </c>
      <c r="G48" t="s">
        <v>25</v>
      </c>
      <c r="H48" t="s">
        <v>13</v>
      </c>
      <c r="I48">
        <v>0.75</v>
      </c>
      <c r="J48">
        <v>7500</v>
      </c>
      <c r="K48">
        <v>30</v>
      </c>
      <c r="L48">
        <v>5625</v>
      </c>
      <c r="M48" t="s">
        <v>33</v>
      </c>
    </row>
    <row r="49" spans="1:13" ht="14" x14ac:dyDescent="0.15">
      <c r="A49" t="s">
        <v>8</v>
      </c>
      <c r="B49" t="s">
        <v>23</v>
      </c>
      <c r="C49">
        <v>1128299</v>
      </c>
      <c r="D49" s="1">
        <v>44793</v>
      </c>
      <c r="E49" s="1">
        <v>44823</v>
      </c>
      <c r="F49" t="s">
        <v>24</v>
      </c>
      <c r="G49" t="s">
        <v>25</v>
      </c>
      <c r="H49" t="s">
        <v>14</v>
      </c>
      <c r="I49">
        <v>0.8</v>
      </c>
      <c r="J49">
        <v>7250</v>
      </c>
      <c r="K49">
        <v>30</v>
      </c>
      <c r="L49">
        <v>5800</v>
      </c>
      <c r="M49" t="s">
        <v>33</v>
      </c>
    </row>
    <row r="50" spans="1:13" ht="14" x14ac:dyDescent="0.15">
      <c r="A50" t="s">
        <v>8</v>
      </c>
      <c r="B50" t="s">
        <v>23</v>
      </c>
      <c r="C50">
        <v>1128299</v>
      </c>
      <c r="D50" s="1">
        <v>44825</v>
      </c>
      <c r="E50" s="1">
        <v>44855</v>
      </c>
      <c r="F50" t="s">
        <v>24</v>
      </c>
      <c r="G50" t="s">
        <v>25</v>
      </c>
      <c r="H50" t="s">
        <v>9</v>
      </c>
      <c r="I50">
        <v>0.55000000000000004</v>
      </c>
      <c r="J50">
        <v>9250</v>
      </c>
      <c r="K50">
        <v>30</v>
      </c>
      <c r="L50">
        <v>5087.5</v>
      </c>
      <c r="M50" t="s">
        <v>34</v>
      </c>
    </row>
    <row r="51" spans="1:13" ht="14" x14ac:dyDescent="0.15">
      <c r="A51" t="s">
        <v>8</v>
      </c>
      <c r="B51" t="s">
        <v>23</v>
      </c>
      <c r="C51">
        <v>1128299</v>
      </c>
      <c r="D51" s="1">
        <v>44825</v>
      </c>
      <c r="E51" s="1">
        <v>44855</v>
      </c>
      <c r="F51" t="s">
        <v>24</v>
      </c>
      <c r="G51" t="s">
        <v>25</v>
      </c>
      <c r="H51" t="s">
        <v>10</v>
      </c>
      <c r="I51">
        <v>0.60000000000000009</v>
      </c>
      <c r="J51">
        <v>9250</v>
      </c>
      <c r="K51">
        <v>30</v>
      </c>
      <c r="L51">
        <v>5550.0000000000009</v>
      </c>
      <c r="M51" t="s">
        <v>34</v>
      </c>
    </row>
    <row r="52" spans="1:13" ht="14" x14ac:dyDescent="0.15">
      <c r="A52" t="s">
        <v>8</v>
      </c>
      <c r="B52" t="s">
        <v>23</v>
      </c>
      <c r="C52">
        <v>1128299</v>
      </c>
      <c r="D52" s="1">
        <v>44825</v>
      </c>
      <c r="E52" s="1">
        <v>44855</v>
      </c>
      <c r="F52" t="s">
        <v>24</v>
      </c>
      <c r="G52" t="s">
        <v>25</v>
      </c>
      <c r="H52" t="s">
        <v>11</v>
      </c>
      <c r="I52">
        <v>0.55000000000000004</v>
      </c>
      <c r="J52">
        <v>7750</v>
      </c>
      <c r="K52">
        <v>30</v>
      </c>
      <c r="L52">
        <v>4262.5</v>
      </c>
      <c r="M52" t="s">
        <v>34</v>
      </c>
    </row>
    <row r="53" spans="1:13" ht="14" x14ac:dyDescent="0.15">
      <c r="A53" t="s">
        <v>8</v>
      </c>
      <c r="B53" t="s">
        <v>23</v>
      </c>
      <c r="C53">
        <v>1128299</v>
      </c>
      <c r="D53" s="1">
        <v>44825</v>
      </c>
      <c r="E53" s="1">
        <v>44855</v>
      </c>
      <c r="F53" t="s">
        <v>24</v>
      </c>
      <c r="G53" t="s">
        <v>25</v>
      </c>
      <c r="H53" t="s">
        <v>12</v>
      </c>
      <c r="I53">
        <v>0.55000000000000004</v>
      </c>
      <c r="J53">
        <v>7250</v>
      </c>
      <c r="K53">
        <v>30</v>
      </c>
      <c r="L53">
        <v>3987.5000000000005</v>
      </c>
      <c r="M53" t="s">
        <v>34</v>
      </c>
    </row>
    <row r="54" spans="1:13" ht="14" x14ac:dyDescent="0.15">
      <c r="A54" t="s">
        <v>8</v>
      </c>
      <c r="B54" t="s">
        <v>23</v>
      </c>
      <c r="C54">
        <v>1128299</v>
      </c>
      <c r="D54" s="1">
        <v>44825</v>
      </c>
      <c r="E54" s="1">
        <v>44855</v>
      </c>
      <c r="F54" t="s">
        <v>24</v>
      </c>
      <c r="G54" t="s">
        <v>25</v>
      </c>
      <c r="H54" t="s">
        <v>13</v>
      </c>
      <c r="I54">
        <v>0.65</v>
      </c>
      <c r="J54">
        <v>7250</v>
      </c>
      <c r="K54">
        <v>30</v>
      </c>
      <c r="L54">
        <v>4712.5</v>
      </c>
      <c r="M54" t="s">
        <v>34</v>
      </c>
    </row>
    <row r="55" spans="1:13" ht="14" x14ac:dyDescent="0.15">
      <c r="A55" t="s">
        <v>8</v>
      </c>
      <c r="B55" t="s">
        <v>23</v>
      </c>
      <c r="C55">
        <v>1128299</v>
      </c>
      <c r="D55" s="1">
        <v>44825</v>
      </c>
      <c r="E55" s="1">
        <v>44855</v>
      </c>
      <c r="F55" t="s">
        <v>24</v>
      </c>
      <c r="G55" t="s">
        <v>25</v>
      </c>
      <c r="H55" t="s">
        <v>14</v>
      </c>
      <c r="I55">
        <v>0.70000000000000007</v>
      </c>
      <c r="J55">
        <v>7750</v>
      </c>
      <c r="K55">
        <v>30</v>
      </c>
      <c r="L55">
        <v>5425.0000000000009</v>
      </c>
      <c r="M55" t="s">
        <v>34</v>
      </c>
    </row>
    <row r="56" spans="1:13" ht="14" x14ac:dyDescent="0.15">
      <c r="A56" t="s">
        <v>8</v>
      </c>
      <c r="B56" t="s">
        <v>23</v>
      </c>
      <c r="C56">
        <v>1128299</v>
      </c>
      <c r="D56" s="1">
        <v>44854</v>
      </c>
      <c r="E56" s="1">
        <v>44884</v>
      </c>
      <c r="F56" t="s">
        <v>24</v>
      </c>
      <c r="G56" t="s">
        <v>25</v>
      </c>
      <c r="H56" t="s">
        <v>9</v>
      </c>
      <c r="I56">
        <v>0.55000000000000004</v>
      </c>
      <c r="J56">
        <v>8750</v>
      </c>
      <c r="K56">
        <v>30</v>
      </c>
      <c r="L56">
        <v>4812.5</v>
      </c>
      <c r="M56" t="s">
        <v>35</v>
      </c>
    </row>
    <row r="57" spans="1:13" ht="14" x14ac:dyDescent="0.15">
      <c r="A57" t="s">
        <v>8</v>
      </c>
      <c r="B57" t="s">
        <v>23</v>
      </c>
      <c r="C57">
        <v>1128299</v>
      </c>
      <c r="D57" s="1">
        <v>44854</v>
      </c>
      <c r="E57" s="1">
        <v>44884</v>
      </c>
      <c r="F57" t="s">
        <v>24</v>
      </c>
      <c r="G57" t="s">
        <v>25</v>
      </c>
      <c r="H57" t="s">
        <v>10</v>
      </c>
      <c r="I57">
        <v>0.60000000000000009</v>
      </c>
      <c r="J57">
        <v>8750</v>
      </c>
      <c r="K57">
        <v>30</v>
      </c>
      <c r="L57">
        <v>5250.0000000000009</v>
      </c>
      <c r="M57" t="s">
        <v>35</v>
      </c>
    </row>
    <row r="58" spans="1:13" ht="14" x14ac:dyDescent="0.15">
      <c r="A58" t="s">
        <v>8</v>
      </c>
      <c r="B58" t="s">
        <v>23</v>
      </c>
      <c r="C58">
        <v>1128299</v>
      </c>
      <c r="D58" s="1">
        <v>44854</v>
      </c>
      <c r="E58" s="1">
        <v>44884</v>
      </c>
      <c r="F58" t="s">
        <v>24</v>
      </c>
      <c r="G58" t="s">
        <v>25</v>
      </c>
      <c r="H58" t="s">
        <v>11</v>
      </c>
      <c r="I58">
        <v>0.55000000000000004</v>
      </c>
      <c r="J58">
        <v>7000</v>
      </c>
      <c r="K58">
        <v>30</v>
      </c>
      <c r="L58">
        <v>3850.0000000000005</v>
      </c>
      <c r="M58" t="s">
        <v>35</v>
      </c>
    </row>
    <row r="59" spans="1:13" ht="14" x14ac:dyDescent="0.15">
      <c r="A59" t="s">
        <v>8</v>
      </c>
      <c r="B59" t="s">
        <v>23</v>
      </c>
      <c r="C59">
        <v>1128299</v>
      </c>
      <c r="D59" s="1">
        <v>44854</v>
      </c>
      <c r="E59" s="1">
        <v>44884</v>
      </c>
      <c r="F59" t="s">
        <v>24</v>
      </c>
      <c r="G59" t="s">
        <v>25</v>
      </c>
      <c r="H59" t="s">
        <v>12</v>
      </c>
      <c r="I59">
        <v>0.55000000000000004</v>
      </c>
      <c r="J59">
        <v>6750</v>
      </c>
      <c r="K59">
        <v>30</v>
      </c>
      <c r="L59">
        <v>3712.5000000000005</v>
      </c>
      <c r="M59" t="s">
        <v>35</v>
      </c>
    </row>
    <row r="60" spans="1:13" ht="14" x14ac:dyDescent="0.15">
      <c r="A60" t="s">
        <v>8</v>
      </c>
      <c r="B60" t="s">
        <v>23</v>
      </c>
      <c r="C60">
        <v>1128299</v>
      </c>
      <c r="D60" s="1">
        <v>44854</v>
      </c>
      <c r="E60" s="1">
        <v>44884</v>
      </c>
      <c r="F60" t="s">
        <v>24</v>
      </c>
      <c r="G60" t="s">
        <v>25</v>
      </c>
      <c r="H60" t="s">
        <v>13</v>
      </c>
      <c r="I60">
        <v>0.65</v>
      </c>
      <c r="J60">
        <v>6500</v>
      </c>
      <c r="K60">
        <v>30</v>
      </c>
      <c r="L60">
        <v>4225</v>
      </c>
      <c r="M60" t="s">
        <v>35</v>
      </c>
    </row>
    <row r="61" spans="1:13" ht="14" x14ac:dyDescent="0.15">
      <c r="A61" t="s">
        <v>8</v>
      </c>
      <c r="B61" t="s">
        <v>23</v>
      </c>
      <c r="C61">
        <v>1128299</v>
      </c>
      <c r="D61" s="1">
        <v>44854</v>
      </c>
      <c r="E61" s="1">
        <v>44884</v>
      </c>
      <c r="F61" t="s">
        <v>24</v>
      </c>
      <c r="G61" t="s">
        <v>25</v>
      </c>
      <c r="H61" t="s">
        <v>14</v>
      </c>
      <c r="I61">
        <v>0.70000000000000007</v>
      </c>
      <c r="J61">
        <v>7000</v>
      </c>
      <c r="K61">
        <v>30</v>
      </c>
      <c r="L61">
        <v>4900.0000000000009</v>
      </c>
      <c r="M61" t="s">
        <v>35</v>
      </c>
    </row>
    <row r="62" spans="1:13" ht="14" x14ac:dyDescent="0.15">
      <c r="A62" t="s">
        <v>8</v>
      </c>
      <c r="B62" t="s">
        <v>23</v>
      </c>
      <c r="C62">
        <v>1128299</v>
      </c>
      <c r="D62" s="1">
        <v>44885</v>
      </c>
      <c r="E62" s="1">
        <v>44915</v>
      </c>
      <c r="F62" t="s">
        <v>24</v>
      </c>
      <c r="G62" t="s">
        <v>25</v>
      </c>
      <c r="H62" t="s">
        <v>9</v>
      </c>
      <c r="I62">
        <v>0.55000000000000004</v>
      </c>
      <c r="J62">
        <v>8750</v>
      </c>
      <c r="K62">
        <v>30</v>
      </c>
      <c r="L62">
        <v>4812.5</v>
      </c>
      <c r="M62" t="s">
        <v>36</v>
      </c>
    </row>
    <row r="63" spans="1:13" ht="14" x14ac:dyDescent="0.15">
      <c r="A63" t="s">
        <v>8</v>
      </c>
      <c r="B63" t="s">
        <v>23</v>
      </c>
      <c r="C63">
        <v>1128299</v>
      </c>
      <c r="D63" s="1">
        <v>44885</v>
      </c>
      <c r="E63" s="1">
        <v>44915</v>
      </c>
      <c r="F63" t="s">
        <v>24</v>
      </c>
      <c r="G63" t="s">
        <v>25</v>
      </c>
      <c r="H63" t="s">
        <v>10</v>
      </c>
      <c r="I63">
        <v>0.60000000000000009</v>
      </c>
      <c r="J63">
        <v>8750</v>
      </c>
      <c r="K63">
        <v>30</v>
      </c>
      <c r="L63">
        <v>5250.0000000000009</v>
      </c>
      <c r="M63" t="s">
        <v>36</v>
      </c>
    </row>
    <row r="64" spans="1:13" ht="14" x14ac:dyDescent="0.15">
      <c r="A64" t="s">
        <v>8</v>
      </c>
      <c r="B64" t="s">
        <v>23</v>
      </c>
      <c r="C64">
        <v>1128299</v>
      </c>
      <c r="D64" s="1">
        <v>44885</v>
      </c>
      <c r="E64" s="1">
        <v>44915</v>
      </c>
      <c r="F64" t="s">
        <v>24</v>
      </c>
      <c r="G64" t="s">
        <v>25</v>
      </c>
      <c r="H64" t="s">
        <v>11</v>
      </c>
      <c r="I64">
        <v>0.55000000000000004</v>
      </c>
      <c r="J64">
        <v>7250</v>
      </c>
      <c r="K64">
        <v>30</v>
      </c>
      <c r="L64">
        <v>3987.5000000000005</v>
      </c>
      <c r="M64" t="s">
        <v>36</v>
      </c>
    </row>
    <row r="65" spans="1:13" ht="14" x14ac:dyDescent="0.15">
      <c r="A65" t="s">
        <v>8</v>
      </c>
      <c r="B65" t="s">
        <v>23</v>
      </c>
      <c r="C65">
        <v>1128299</v>
      </c>
      <c r="D65" s="1">
        <v>44885</v>
      </c>
      <c r="E65" s="1">
        <v>44915</v>
      </c>
      <c r="F65" t="s">
        <v>24</v>
      </c>
      <c r="G65" t="s">
        <v>25</v>
      </c>
      <c r="H65" t="s">
        <v>12</v>
      </c>
      <c r="I65">
        <v>0.55000000000000004</v>
      </c>
      <c r="J65">
        <v>7000</v>
      </c>
      <c r="K65">
        <v>30</v>
      </c>
      <c r="L65">
        <v>3850.0000000000005</v>
      </c>
      <c r="M65" t="s">
        <v>36</v>
      </c>
    </row>
    <row r="66" spans="1:13" ht="14" x14ac:dyDescent="0.15">
      <c r="A66" t="s">
        <v>8</v>
      </c>
      <c r="B66" t="s">
        <v>23</v>
      </c>
      <c r="C66">
        <v>1128299</v>
      </c>
      <c r="D66" s="1">
        <v>44885</v>
      </c>
      <c r="E66" s="1">
        <v>44915</v>
      </c>
      <c r="F66" t="s">
        <v>24</v>
      </c>
      <c r="G66" t="s">
        <v>25</v>
      </c>
      <c r="H66" t="s">
        <v>13</v>
      </c>
      <c r="I66">
        <v>0.65</v>
      </c>
      <c r="J66">
        <v>6500</v>
      </c>
      <c r="K66">
        <v>30</v>
      </c>
      <c r="L66">
        <v>4225</v>
      </c>
      <c r="M66" t="s">
        <v>36</v>
      </c>
    </row>
    <row r="67" spans="1:13" ht="14" x14ac:dyDescent="0.15">
      <c r="A67" t="s">
        <v>8</v>
      </c>
      <c r="B67" t="s">
        <v>23</v>
      </c>
      <c r="C67">
        <v>1128299</v>
      </c>
      <c r="D67" s="1">
        <v>44885</v>
      </c>
      <c r="E67" s="1">
        <v>44915</v>
      </c>
      <c r="F67" t="s">
        <v>24</v>
      </c>
      <c r="G67" t="s">
        <v>25</v>
      </c>
      <c r="H67" t="s">
        <v>14</v>
      </c>
      <c r="I67">
        <v>0.70000000000000007</v>
      </c>
      <c r="J67">
        <v>7750</v>
      </c>
      <c r="K67">
        <v>30</v>
      </c>
      <c r="L67">
        <v>5425.0000000000009</v>
      </c>
      <c r="M67" t="s">
        <v>36</v>
      </c>
    </row>
    <row r="68" spans="1:13" ht="14" x14ac:dyDescent="0.15">
      <c r="A68" t="s">
        <v>8</v>
      </c>
      <c r="B68" t="s">
        <v>23</v>
      </c>
      <c r="C68">
        <v>1128299</v>
      </c>
      <c r="D68" s="1">
        <v>44914</v>
      </c>
      <c r="E68" s="1">
        <v>44944</v>
      </c>
      <c r="F68" t="s">
        <v>24</v>
      </c>
      <c r="G68" t="s">
        <v>25</v>
      </c>
      <c r="H68" t="s">
        <v>9</v>
      </c>
      <c r="I68">
        <v>0.55000000000000004</v>
      </c>
      <c r="J68">
        <v>9750</v>
      </c>
      <c r="K68">
        <v>30</v>
      </c>
      <c r="L68">
        <v>5362.5</v>
      </c>
      <c r="M68" t="s">
        <v>37</v>
      </c>
    </row>
    <row r="69" spans="1:13" ht="14" x14ac:dyDescent="0.15">
      <c r="A69" t="s">
        <v>8</v>
      </c>
      <c r="B69" t="s">
        <v>23</v>
      </c>
      <c r="C69">
        <v>1128299</v>
      </c>
      <c r="D69" s="1">
        <v>44914</v>
      </c>
      <c r="E69" s="1">
        <v>44944</v>
      </c>
      <c r="F69" t="s">
        <v>24</v>
      </c>
      <c r="G69" t="s">
        <v>25</v>
      </c>
      <c r="H69" t="s">
        <v>10</v>
      </c>
      <c r="I69">
        <v>0.60000000000000009</v>
      </c>
      <c r="J69">
        <v>9750</v>
      </c>
      <c r="K69">
        <v>30</v>
      </c>
      <c r="L69">
        <v>5850.0000000000009</v>
      </c>
      <c r="M69" t="s">
        <v>37</v>
      </c>
    </row>
    <row r="70" spans="1:13" ht="14" x14ac:dyDescent="0.15">
      <c r="A70" t="s">
        <v>8</v>
      </c>
      <c r="B70" t="s">
        <v>23</v>
      </c>
      <c r="C70">
        <v>1128299</v>
      </c>
      <c r="D70" s="1">
        <v>44914</v>
      </c>
      <c r="E70" s="1">
        <v>44944</v>
      </c>
      <c r="F70" t="s">
        <v>24</v>
      </c>
      <c r="G70" t="s">
        <v>25</v>
      </c>
      <c r="H70" t="s">
        <v>11</v>
      </c>
      <c r="I70">
        <v>0.55000000000000004</v>
      </c>
      <c r="J70">
        <v>7750</v>
      </c>
      <c r="K70">
        <v>30</v>
      </c>
      <c r="L70">
        <v>4262.5</v>
      </c>
      <c r="M70" t="s">
        <v>37</v>
      </c>
    </row>
    <row r="71" spans="1:13" ht="14" x14ac:dyDescent="0.15">
      <c r="A71" t="s">
        <v>8</v>
      </c>
      <c r="B71" t="s">
        <v>23</v>
      </c>
      <c r="C71">
        <v>1128299</v>
      </c>
      <c r="D71" s="1">
        <v>44914</v>
      </c>
      <c r="E71" s="1">
        <v>44944</v>
      </c>
      <c r="F71" t="s">
        <v>24</v>
      </c>
      <c r="G71" t="s">
        <v>25</v>
      </c>
      <c r="H71" t="s">
        <v>12</v>
      </c>
      <c r="I71">
        <v>0.55000000000000004</v>
      </c>
      <c r="J71">
        <v>7750</v>
      </c>
      <c r="K71">
        <v>30</v>
      </c>
      <c r="L71">
        <v>4262.5</v>
      </c>
      <c r="M71" t="s">
        <v>37</v>
      </c>
    </row>
    <row r="72" spans="1:13" ht="14" x14ac:dyDescent="0.15">
      <c r="A72" t="s">
        <v>8</v>
      </c>
      <c r="B72" t="s">
        <v>23</v>
      </c>
      <c r="C72">
        <v>1128299</v>
      </c>
      <c r="D72" s="1">
        <v>44914</v>
      </c>
      <c r="E72" s="1">
        <v>44944</v>
      </c>
      <c r="F72" t="s">
        <v>24</v>
      </c>
      <c r="G72" t="s">
        <v>25</v>
      </c>
      <c r="H72" t="s">
        <v>13</v>
      </c>
      <c r="I72">
        <v>0.65</v>
      </c>
      <c r="J72">
        <v>7000</v>
      </c>
      <c r="K72">
        <v>30</v>
      </c>
      <c r="L72">
        <v>4550</v>
      </c>
      <c r="M72" t="s">
        <v>37</v>
      </c>
    </row>
    <row r="73" spans="1:13" ht="14" x14ac:dyDescent="0.15">
      <c r="A73" t="s">
        <v>8</v>
      </c>
      <c r="B73" t="s">
        <v>23</v>
      </c>
      <c r="C73">
        <v>1128299</v>
      </c>
      <c r="D73" s="1">
        <v>44914</v>
      </c>
      <c r="E73" s="1">
        <v>44944</v>
      </c>
      <c r="F73" t="s">
        <v>24</v>
      </c>
      <c r="G73" t="s">
        <v>25</v>
      </c>
      <c r="H73" t="s">
        <v>14</v>
      </c>
      <c r="I73">
        <v>0.70000000000000007</v>
      </c>
      <c r="J73">
        <v>8000</v>
      </c>
      <c r="K73">
        <v>30</v>
      </c>
      <c r="L73">
        <v>5600.0000000000009</v>
      </c>
      <c r="M73" t="s">
        <v>37</v>
      </c>
    </row>
    <row r="74" spans="1:13" ht="14" x14ac:dyDescent="0.15">
      <c r="A74" t="s">
        <v>15</v>
      </c>
      <c r="B74" t="s">
        <v>38</v>
      </c>
      <c r="C74">
        <v>1197831</v>
      </c>
      <c r="D74" s="1">
        <v>44563</v>
      </c>
      <c r="E74" s="1">
        <v>44593</v>
      </c>
      <c r="F74" t="s">
        <v>39</v>
      </c>
      <c r="G74" t="s">
        <v>40</v>
      </c>
      <c r="H74" t="s">
        <v>9</v>
      </c>
      <c r="I74">
        <v>0.25</v>
      </c>
      <c r="J74">
        <v>9000</v>
      </c>
      <c r="K74">
        <v>30</v>
      </c>
      <c r="L74">
        <v>2250</v>
      </c>
      <c r="M74" t="s">
        <v>26</v>
      </c>
    </row>
    <row r="75" spans="1:13" ht="14" x14ac:dyDescent="0.15">
      <c r="A75" t="s">
        <v>15</v>
      </c>
      <c r="B75" t="s">
        <v>38</v>
      </c>
      <c r="C75">
        <v>1197831</v>
      </c>
      <c r="D75" s="1">
        <v>44563</v>
      </c>
      <c r="E75" s="1">
        <v>44593</v>
      </c>
      <c r="F75" t="s">
        <v>39</v>
      </c>
      <c r="G75" t="s">
        <v>40</v>
      </c>
      <c r="H75" t="s">
        <v>10</v>
      </c>
      <c r="I75">
        <v>0.35</v>
      </c>
      <c r="J75">
        <v>9000</v>
      </c>
      <c r="K75">
        <v>30</v>
      </c>
      <c r="L75">
        <v>3150</v>
      </c>
      <c r="M75" t="s">
        <v>26</v>
      </c>
    </row>
    <row r="76" spans="1:13" ht="14" x14ac:dyDescent="0.15">
      <c r="A76" t="s">
        <v>15</v>
      </c>
      <c r="B76" t="s">
        <v>38</v>
      </c>
      <c r="C76">
        <v>1197831</v>
      </c>
      <c r="D76" s="1">
        <v>44563</v>
      </c>
      <c r="E76" s="1">
        <v>44593</v>
      </c>
      <c r="F76" t="s">
        <v>39</v>
      </c>
      <c r="G76" t="s">
        <v>40</v>
      </c>
      <c r="H76" t="s">
        <v>11</v>
      </c>
      <c r="I76">
        <v>0.35</v>
      </c>
      <c r="J76">
        <v>7000</v>
      </c>
      <c r="K76">
        <v>30</v>
      </c>
      <c r="L76">
        <v>2450</v>
      </c>
      <c r="M76" t="s">
        <v>26</v>
      </c>
    </row>
    <row r="77" spans="1:13" ht="14" x14ac:dyDescent="0.15">
      <c r="A77" t="s">
        <v>15</v>
      </c>
      <c r="B77" t="s">
        <v>38</v>
      </c>
      <c r="C77">
        <v>1197831</v>
      </c>
      <c r="D77" s="1">
        <v>44563</v>
      </c>
      <c r="E77" s="1">
        <v>44593</v>
      </c>
      <c r="F77" t="s">
        <v>39</v>
      </c>
      <c r="G77" t="s">
        <v>40</v>
      </c>
      <c r="H77" t="s">
        <v>12</v>
      </c>
      <c r="I77">
        <v>0.35</v>
      </c>
      <c r="J77">
        <v>7000</v>
      </c>
      <c r="K77">
        <v>30</v>
      </c>
      <c r="L77">
        <v>2450</v>
      </c>
      <c r="M77" t="s">
        <v>26</v>
      </c>
    </row>
    <row r="78" spans="1:13" ht="14" x14ac:dyDescent="0.15">
      <c r="A78" t="s">
        <v>15</v>
      </c>
      <c r="B78" t="s">
        <v>38</v>
      </c>
      <c r="C78">
        <v>1197831</v>
      </c>
      <c r="D78" s="1">
        <v>44563</v>
      </c>
      <c r="E78" s="1">
        <v>44593</v>
      </c>
      <c r="F78" t="s">
        <v>39</v>
      </c>
      <c r="G78" t="s">
        <v>40</v>
      </c>
      <c r="H78" t="s">
        <v>13</v>
      </c>
      <c r="I78">
        <v>0.4</v>
      </c>
      <c r="J78">
        <v>5500</v>
      </c>
      <c r="K78">
        <v>30</v>
      </c>
      <c r="L78">
        <v>2200</v>
      </c>
      <c r="M78" t="s">
        <v>26</v>
      </c>
    </row>
    <row r="79" spans="1:13" ht="14" x14ac:dyDescent="0.15">
      <c r="A79" t="s">
        <v>15</v>
      </c>
      <c r="B79" t="s">
        <v>38</v>
      </c>
      <c r="C79">
        <v>1197831</v>
      </c>
      <c r="D79" s="1">
        <v>44563</v>
      </c>
      <c r="E79" s="1">
        <v>44593</v>
      </c>
      <c r="F79" t="s">
        <v>39</v>
      </c>
      <c r="G79" t="s">
        <v>40</v>
      </c>
      <c r="H79" t="s">
        <v>14</v>
      </c>
      <c r="I79">
        <v>0.35</v>
      </c>
      <c r="J79">
        <v>7000</v>
      </c>
      <c r="K79">
        <v>30</v>
      </c>
      <c r="L79">
        <v>2450</v>
      </c>
      <c r="M79" t="s">
        <v>26</v>
      </c>
    </row>
    <row r="80" spans="1:13" ht="14" x14ac:dyDescent="0.15">
      <c r="A80" t="s">
        <v>15</v>
      </c>
      <c r="B80" t="s">
        <v>38</v>
      </c>
      <c r="C80">
        <v>1197831</v>
      </c>
      <c r="D80" s="1">
        <v>44593</v>
      </c>
      <c r="E80" s="1">
        <v>44623</v>
      </c>
      <c r="F80" t="s">
        <v>39</v>
      </c>
      <c r="G80" t="s">
        <v>40</v>
      </c>
      <c r="H80" t="s">
        <v>9</v>
      </c>
      <c r="I80">
        <v>0.25</v>
      </c>
      <c r="J80">
        <v>8500</v>
      </c>
      <c r="K80">
        <v>30</v>
      </c>
      <c r="L80">
        <v>2125</v>
      </c>
      <c r="M80" t="s">
        <v>27</v>
      </c>
    </row>
    <row r="81" spans="1:13" ht="14" x14ac:dyDescent="0.15">
      <c r="A81" t="s">
        <v>15</v>
      </c>
      <c r="B81" t="s">
        <v>38</v>
      </c>
      <c r="C81">
        <v>1197831</v>
      </c>
      <c r="D81" s="1">
        <v>44593</v>
      </c>
      <c r="E81" s="1">
        <v>44631</v>
      </c>
      <c r="F81" t="s">
        <v>39</v>
      </c>
      <c r="G81" t="s">
        <v>40</v>
      </c>
      <c r="H81" t="s">
        <v>10</v>
      </c>
      <c r="I81">
        <v>0.35</v>
      </c>
      <c r="J81">
        <v>8500</v>
      </c>
      <c r="K81">
        <v>38</v>
      </c>
      <c r="L81">
        <v>2975</v>
      </c>
      <c r="M81" t="s">
        <v>27</v>
      </c>
    </row>
    <row r="82" spans="1:13" ht="14" x14ac:dyDescent="0.15">
      <c r="A82" t="s">
        <v>15</v>
      </c>
      <c r="B82" t="s">
        <v>38</v>
      </c>
      <c r="C82">
        <v>1197831</v>
      </c>
      <c r="D82" s="1">
        <v>44593</v>
      </c>
      <c r="E82" s="1">
        <v>44642</v>
      </c>
      <c r="F82" t="s">
        <v>39</v>
      </c>
      <c r="G82" t="s">
        <v>40</v>
      </c>
      <c r="H82" t="s">
        <v>11</v>
      </c>
      <c r="I82">
        <v>0.35</v>
      </c>
      <c r="J82">
        <v>6750</v>
      </c>
      <c r="K82">
        <v>49</v>
      </c>
      <c r="L82">
        <v>2362.5</v>
      </c>
      <c r="M82" t="s">
        <v>27</v>
      </c>
    </row>
    <row r="83" spans="1:13" ht="14" x14ac:dyDescent="0.15">
      <c r="A83" t="s">
        <v>15</v>
      </c>
      <c r="B83" t="s">
        <v>38</v>
      </c>
      <c r="C83">
        <v>1197831</v>
      </c>
      <c r="D83" s="1">
        <v>44593</v>
      </c>
      <c r="E83" s="1">
        <v>44623</v>
      </c>
      <c r="F83" t="s">
        <v>39</v>
      </c>
      <c r="G83" t="s">
        <v>40</v>
      </c>
      <c r="H83" t="s">
        <v>12</v>
      </c>
      <c r="I83">
        <v>0.35</v>
      </c>
      <c r="J83">
        <v>6250</v>
      </c>
      <c r="K83">
        <v>30</v>
      </c>
      <c r="L83">
        <v>2187.5</v>
      </c>
      <c r="M83" t="s">
        <v>27</v>
      </c>
    </row>
    <row r="84" spans="1:13" ht="14" x14ac:dyDescent="0.15">
      <c r="A84" t="s">
        <v>15</v>
      </c>
      <c r="B84" t="s">
        <v>38</v>
      </c>
      <c r="C84">
        <v>1197831</v>
      </c>
      <c r="D84" s="1">
        <v>44593</v>
      </c>
      <c r="E84" s="1">
        <v>44623</v>
      </c>
      <c r="F84" t="s">
        <v>39</v>
      </c>
      <c r="G84" t="s">
        <v>40</v>
      </c>
      <c r="H84" t="s">
        <v>13</v>
      </c>
      <c r="I84">
        <v>0.4</v>
      </c>
      <c r="J84">
        <v>5000</v>
      </c>
      <c r="K84">
        <v>30</v>
      </c>
      <c r="L84">
        <v>2000</v>
      </c>
      <c r="M84" t="s">
        <v>27</v>
      </c>
    </row>
    <row r="85" spans="1:13" ht="14" x14ac:dyDescent="0.15">
      <c r="A85" t="s">
        <v>15</v>
      </c>
      <c r="B85" t="s">
        <v>38</v>
      </c>
      <c r="C85">
        <v>1197831</v>
      </c>
      <c r="D85" s="1">
        <v>44593</v>
      </c>
      <c r="E85" s="1">
        <v>44623</v>
      </c>
      <c r="F85" t="s">
        <v>39</v>
      </c>
      <c r="G85" t="s">
        <v>40</v>
      </c>
      <c r="H85" t="s">
        <v>14</v>
      </c>
      <c r="I85">
        <v>0.35</v>
      </c>
      <c r="J85">
        <v>7000</v>
      </c>
      <c r="K85">
        <v>30</v>
      </c>
      <c r="L85">
        <v>2450</v>
      </c>
      <c r="M85" t="s">
        <v>27</v>
      </c>
    </row>
    <row r="86" spans="1:13" ht="14" x14ac:dyDescent="0.15">
      <c r="A86" t="s">
        <v>15</v>
      </c>
      <c r="B86" t="s">
        <v>38</v>
      </c>
      <c r="C86">
        <v>1197831</v>
      </c>
      <c r="D86" s="1">
        <v>44623</v>
      </c>
      <c r="E86" s="1">
        <v>44653</v>
      </c>
      <c r="F86" t="s">
        <v>39</v>
      </c>
      <c r="G86" t="s">
        <v>40</v>
      </c>
      <c r="H86" t="s">
        <v>9</v>
      </c>
      <c r="I86">
        <v>0.3</v>
      </c>
      <c r="J86">
        <v>8750</v>
      </c>
      <c r="K86">
        <v>30</v>
      </c>
      <c r="L86">
        <v>2625</v>
      </c>
      <c r="M86" t="s">
        <v>28</v>
      </c>
    </row>
    <row r="87" spans="1:13" ht="14" x14ac:dyDescent="0.15">
      <c r="A87" t="s">
        <v>15</v>
      </c>
      <c r="B87" t="s">
        <v>38</v>
      </c>
      <c r="C87">
        <v>1197831</v>
      </c>
      <c r="D87" s="1">
        <v>44623</v>
      </c>
      <c r="E87" s="1">
        <v>44653</v>
      </c>
      <c r="F87" t="s">
        <v>39</v>
      </c>
      <c r="G87" t="s">
        <v>40</v>
      </c>
      <c r="H87" t="s">
        <v>10</v>
      </c>
      <c r="I87">
        <v>0.4</v>
      </c>
      <c r="J87">
        <v>8750</v>
      </c>
      <c r="K87">
        <v>30</v>
      </c>
      <c r="L87">
        <v>3500</v>
      </c>
      <c r="M87" t="s">
        <v>28</v>
      </c>
    </row>
    <row r="88" spans="1:13" ht="14" x14ac:dyDescent="0.15">
      <c r="A88" t="s">
        <v>15</v>
      </c>
      <c r="B88" t="s">
        <v>38</v>
      </c>
      <c r="C88">
        <v>1197831</v>
      </c>
      <c r="D88" s="1">
        <v>44623</v>
      </c>
      <c r="E88" s="1">
        <v>44653</v>
      </c>
      <c r="F88" t="s">
        <v>39</v>
      </c>
      <c r="G88" t="s">
        <v>40</v>
      </c>
      <c r="H88" t="s">
        <v>11</v>
      </c>
      <c r="I88">
        <v>0.35</v>
      </c>
      <c r="J88">
        <v>7000</v>
      </c>
      <c r="K88">
        <v>30</v>
      </c>
      <c r="L88">
        <v>2450</v>
      </c>
      <c r="M88" t="s">
        <v>28</v>
      </c>
    </row>
    <row r="89" spans="1:13" ht="14" x14ac:dyDescent="0.15">
      <c r="A89" t="s">
        <v>15</v>
      </c>
      <c r="B89" t="s">
        <v>38</v>
      </c>
      <c r="C89">
        <v>1197831</v>
      </c>
      <c r="D89" s="1">
        <v>44623</v>
      </c>
      <c r="E89" s="1">
        <v>44653</v>
      </c>
      <c r="F89" t="s">
        <v>39</v>
      </c>
      <c r="G89" t="s">
        <v>40</v>
      </c>
      <c r="H89" t="s">
        <v>12</v>
      </c>
      <c r="I89">
        <v>0.4</v>
      </c>
      <c r="J89">
        <v>6000</v>
      </c>
      <c r="K89">
        <v>30</v>
      </c>
      <c r="L89">
        <v>2400</v>
      </c>
      <c r="M89" t="s">
        <v>28</v>
      </c>
    </row>
    <row r="90" spans="1:13" ht="14" x14ac:dyDescent="0.15">
      <c r="A90" t="s">
        <v>15</v>
      </c>
      <c r="B90" t="s">
        <v>38</v>
      </c>
      <c r="C90">
        <v>1197831</v>
      </c>
      <c r="D90" s="1">
        <v>44623</v>
      </c>
      <c r="E90" s="1">
        <v>44653</v>
      </c>
      <c r="F90" t="s">
        <v>39</v>
      </c>
      <c r="G90" t="s">
        <v>40</v>
      </c>
      <c r="H90" t="s">
        <v>13</v>
      </c>
      <c r="I90">
        <v>0.45</v>
      </c>
      <c r="J90">
        <v>5000</v>
      </c>
      <c r="K90">
        <v>30</v>
      </c>
      <c r="L90">
        <v>2250</v>
      </c>
      <c r="M90" t="s">
        <v>28</v>
      </c>
    </row>
    <row r="91" spans="1:13" ht="14" x14ac:dyDescent="0.15">
      <c r="A91" t="s">
        <v>15</v>
      </c>
      <c r="B91" t="s">
        <v>38</v>
      </c>
      <c r="C91">
        <v>1197831</v>
      </c>
      <c r="D91" s="1">
        <v>44623</v>
      </c>
      <c r="E91" s="1">
        <v>44653</v>
      </c>
      <c r="F91" t="s">
        <v>39</v>
      </c>
      <c r="G91" t="s">
        <v>40</v>
      </c>
      <c r="H91" t="s">
        <v>14</v>
      </c>
      <c r="I91">
        <v>0.4</v>
      </c>
      <c r="J91">
        <v>6500</v>
      </c>
      <c r="K91">
        <v>30</v>
      </c>
      <c r="L91">
        <v>2600</v>
      </c>
      <c r="M91" t="s">
        <v>28</v>
      </c>
    </row>
    <row r="92" spans="1:13" ht="14" x14ac:dyDescent="0.15">
      <c r="A92" t="s">
        <v>15</v>
      </c>
      <c r="B92" t="s">
        <v>38</v>
      </c>
      <c r="C92">
        <v>1197831</v>
      </c>
      <c r="D92" s="1">
        <v>44653</v>
      </c>
      <c r="E92" s="1">
        <v>44683</v>
      </c>
      <c r="F92" t="s">
        <v>39</v>
      </c>
      <c r="G92" t="s">
        <v>40</v>
      </c>
      <c r="H92" t="s">
        <v>9</v>
      </c>
      <c r="I92">
        <v>0.3</v>
      </c>
      <c r="J92">
        <v>9000</v>
      </c>
      <c r="K92">
        <v>30</v>
      </c>
      <c r="L92">
        <v>2700</v>
      </c>
      <c r="M92" t="s">
        <v>29</v>
      </c>
    </row>
    <row r="93" spans="1:13" ht="14" x14ac:dyDescent="0.15">
      <c r="A93" t="s">
        <v>15</v>
      </c>
      <c r="B93" t="s">
        <v>38</v>
      </c>
      <c r="C93">
        <v>1197831</v>
      </c>
      <c r="D93" s="1">
        <v>44653</v>
      </c>
      <c r="E93" s="1">
        <v>44683</v>
      </c>
      <c r="F93" t="s">
        <v>39</v>
      </c>
      <c r="G93" t="s">
        <v>40</v>
      </c>
      <c r="H93" t="s">
        <v>10</v>
      </c>
      <c r="I93">
        <v>0.4</v>
      </c>
      <c r="J93">
        <v>9000</v>
      </c>
      <c r="K93">
        <v>30</v>
      </c>
      <c r="L93">
        <v>3600</v>
      </c>
      <c r="M93" t="s">
        <v>29</v>
      </c>
    </row>
    <row r="94" spans="1:13" ht="14" x14ac:dyDescent="0.15">
      <c r="A94" t="s">
        <v>15</v>
      </c>
      <c r="B94" t="s">
        <v>38</v>
      </c>
      <c r="C94">
        <v>1197831</v>
      </c>
      <c r="D94" s="1">
        <v>44653</v>
      </c>
      <c r="E94" s="1">
        <v>44683</v>
      </c>
      <c r="F94" t="s">
        <v>39</v>
      </c>
      <c r="G94" t="s">
        <v>40</v>
      </c>
      <c r="H94" t="s">
        <v>11</v>
      </c>
      <c r="I94">
        <v>0.35</v>
      </c>
      <c r="J94">
        <v>7250</v>
      </c>
      <c r="K94">
        <v>30</v>
      </c>
      <c r="L94">
        <v>2537.5</v>
      </c>
      <c r="M94" t="s">
        <v>29</v>
      </c>
    </row>
    <row r="95" spans="1:13" ht="14" x14ac:dyDescent="0.15">
      <c r="A95" t="s">
        <v>15</v>
      </c>
      <c r="B95" t="s">
        <v>38</v>
      </c>
      <c r="C95">
        <v>1197831</v>
      </c>
      <c r="D95" s="1">
        <v>44653</v>
      </c>
      <c r="E95" s="1">
        <v>44683</v>
      </c>
      <c r="F95" t="s">
        <v>39</v>
      </c>
      <c r="G95" t="s">
        <v>40</v>
      </c>
      <c r="H95" t="s">
        <v>12</v>
      </c>
      <c r="I95">
        <v>0.4</v>
      </c>
      <c r="J95">
        <v>6250</v>
      </c>
      <c r="K95">
        <v>30</v>
      </c>
      <c r="L95">
        <v>2500</v>
      </c>
      <c r="M95" t="s">
        <v>29</v>
      </c>
    </row>
    <row r="96" spans="1:13" ht="14" x14ac:dyDescent="0.15">
      <c r="A96" t="s">
        <v>15</v>
      </c>
      <c r="B96" t="s">
        <v>38</v>
      </c>
      <c r="C96">
        <v>1197831</v>
      </c>
      <c r="D96" s="1">
        <v>44653</v>
      </c>
      <c r="E96" s="1">
        <v>44683</v>
      </c>
      <c r="F96" t="s">
        <v>39</v>
      </c>
      <c r="G96" t="s">
        <v>40</v>
      </c>
      <c r="H96" t="s">
        <v>13</v>
      </c>
      <c r="I96">
        <v>0.45</v>
      </c>
      <c r="J96">
        <v>5250</v>
      </c>
      <c r="K96">
        <v>30</v>
      </c>
      <c r="L96">
        <v>2362.5</v>
      </c>
      <c r="M96" t="s">
        <v>29</v>
      </c>
    </row>
    <row r="97" spans="1:13" ht="14" x14ac:dyDescent="0.15">
      <c r="A97" t="s">
        <v>15</v>
      </c>
      <c r="B97" t="s">
        <v>38</v>
      </c>
      <c r="C97">
        <v>1197831</v>
      </c>
      <c r="D97" s="1">
        <v>44653</v>
      </c>
      <c r="E97" s="1">
        <v>44683</v>
      </c>
      <c r="F97" t="s">
        <v>39</v>
      </c>
      <c r="G97" t="s">
        <v>40</v>
      </c>
      <c r="H97" t="s">
        <v>14</v>
      </c>
      <c r="I97">
        <v>0.4</v>
      </c>
      <c r="J97">
        <v>8000</v>
      </c>
      <c r="K97">
        <v>30</v>
      </c>
      <c r="L97">
        <v>3200</v>
      </c>
      <c r="M97" t="s">
        <v>29</v>
      </c>
    </row>
    <row r="98" spans="1:13" ht="14" x14ac:dyDescent="0.15">
      <c r="A98" t="s">
        <v>15</v>
      </c>
      <c r="B98" t="s">
        <v>38</v>
      </c>
      <c r="C98">
        <v>1197831</v>
      </c>
      <c r="D98" s="1">
        <v>44683</v>
      </c>
      <c r="E98" s="1">
        <v>44713</v>
      </c>
      <c r="F98" t="s">
        <v>39</v>
      </c>
      <c r="G98" t="s">
        <v>40</v>
      </c>
      <c r="H98" t="s">
        <v>9</v>
      </c>
      <c r="I98">
        <v>0.3</v>
      </c>
      <c r="J98">
        <v>9250</v>
      </c>
      <c r="K98">
        <v>30</v>
      </c>
      <c r="L98">
        <v>2775</v>
      </c>
      <c r="M98" t="s">
        <v>30</v>
      </c>
    </row>
    <row r="99" spans="1:13" ht="14" x14ac:dyDescent="0.15">
      <c r="A99" t="s">
        <v>15</v>
      </c>
      <c r="B99" t="s">
        <v>38</v>
      </c>
      <c r="C99">
        <v>1197831</v>
      </c>
      <c r="D99" s="1">
        <v>44683</v>
      </c>
      <c r="E99" s="1">
        <v>44713</v>
      </c>
      <c r="F99" t="s">
        <v>39</v>
      </c>
      <c r="G99" t="s">
        <v>40</v>
      </c>
      <c r="H99" t="s">
        <v>10</v>
      </c>
      <c r="I99">
        <v>0.4</v>
      </c>
      <c r="J99">
        <v>9250</v>
      </c>
      <c r="K99">
        <v>30</v>
      </c>
      <c r="L99">
        <v>3700</v>
      </c>
      <c r="M99" t="s">
        <v>30</v>
      </c>
    </row>
    <row r="100" spans="1:13" ht="14" x14ac:dyDescent="0.15">
      <c r="A100" t="s">
        <v>15</v>
      </c>
      <c r="B100" t="s">
        <v>38</v>
      </c>
      <c r="C100">
        <v>1197831</v>
      </c>
      <c r="D100" s="1">
        <v>44683</v>
      </c>
      <c r="E100" s="1">
        <v>44713</v>
      </c>
      <c r="F100" t="s">
        <v>39</v>
      </c>
      <c r="G100" t="s">
        <v>40</v>
      </c>
      <c r="H100" t="s">
        <v>11</v>
      </c>
      <c r="I100">
        <v>0.35</v>
      </c>
      <c r="J100">
        <v>7750</v>
      </c>
      <c r="K100">
        <v>30</v>
      </c>
      <c r="L100">
        <v>2712.5</v>
      </c>
      <c r="M100" t="s">
        <v>30</v>
      </c>
    </row>
    <row r="101" spans="1:13" ht="14" x14ac:dyDescent="0.15">
      <c r="A101" t="s">
        <v>15</v>
      </c>
      <c r="B101" t="s">
        <v>38</v>
      </c>
      <c r="C101">
        <v>1197831</v>
      </c>
      <c r="D101" s="1">
        <v>44683</v>
      </c>
      <c r="E101" s="1">
        <v>44713</v>
      </c>
      <c r="F101" t="s">
        <v>39</v>
      </c>
      <c r="G101" t="s">
        <v>40</v>
      </c>
      <c r="H101" t="s">
        <v>12</v>
      </c>
      <c r="I101">
        <v>0.4</v>
      </c>
      <c r="J101">
        <v>7000</v>
      </c>
      <c r="K101">
        <v>30</v>
      </c>
      <c r="L101">
        <v>2800</v>
      </c>
      <c r="M101" t="s">
        <v>30</v>
      </c>
    </row>
    <row r="102" spans="1:13" ht="14" x14ac:dyDescent="0.15">
      <c r="A102" t="s">
        <v>15</v>
      </c>
      <c r="B102" t="s">
        <v>38</v>
      </c>
      <c r="C102">
        <v>1197831</v>
      </c>
      <c r="D102" s="1">
        <v>44683</v>
      </c>
      <c r="E102" s="1">
        <v>44713</v>
      </c>
      <c r="F102" t="s">
        <v>39</v>
      </c>
      <c r="G102" t="s">
        <v>40</v>
      </c>
      <c r="H102" t="s">
        <v>13</v>
      </c>
      <c r="I102">
        <v>0.45</v>
      </c>
      <c r="J102">
        <v>6000</v>
      </c>
      <c r="K102">
        <v>30</v>
      </c>
      <c r="L102">
        <v>2700</v>
      </c>
      <c r="M102" t="s">
        <v>30</v>
      </c>
    </row>
    <row r="103" spans="1:13" ht="14" x14ac:dyDescent="0.15">
      <c r="A103" t="s">
        <v>15</v>
      </c>
      <c r="B103" t="s">
        <v>38</v>
      </c>
      <c r="C103">
        <v>1197831</v>
      </c>
      <c r="D103" s="1">
        <v>44683</v>
      </c>
      <c r="E103" s="1">
        <v>44713</v>
      </c>
      <c r="F103" t="s">
        <v>39</v>
      </c>
      <c r="G103" t="s">
        <v>40</v>
      </c>
      <c r="H103" t="s">
        <v>14</v>
      </c>
      <c r="I103">
        <v>0.4</v>
      </c>
      <c r="J103">
        <v>9500</v>
      </c>
      <c r="K103">
        <v>30</v>
      </c>
      <c r="L103">
        <v>3800</v>
      </c>
      <c r="M103" t="s">
        <v>30</v>
      </c>
    </row>
    <row r="104" spans="1:13" ht="14" x14ac:dyDescent="0.15">
      <c r="A104" t="s">
        <v>15</v>
      </c>
      <c r="B104" t="s">
        <v>38</v>
      </c>
      <c r="C104">
        <v>1197831</v>
      </c>
      <c r="D104" s="1">
        <v>44713</v>
      </c>
      <c r="E104" s="1">
        <v>44743</v>
      </c>
      <c r="F104" t="s">
        <v>39</v>
      </c>
      <c r="G104" t="s">
        <v>40</v>
      </c>
      <c r="H104" t="s">
        <v>9</v>
      </c>
      <c r="I104">
        <v>0.4</v>
      </c>
      <c r="J104">
        <v>9500</v>
      </c>
      <c r="K104">
        <v>30</v>
      </c>
      <c r="L104">
        <v>3800</v>
      </c>
      <c r="M104" t="s">
        <v>31</v>
      </c>
    </row>
    <row r="105" spans="1:13" ht="14" x14ac:dyDescent="0.15">
      <c r="A105" t="s">
        <v>15</v>
      </c>
      <c r="B105" t="s">
        <v>38</v>
      </c>
      <c r="C105">
        <v>1197831</v>
      </c>
      <c r="D105" s="1">
        <v>44713</v>
      </c>
      <c r="E105" s="1">
        <v>44743</v>
      </c>
      <c r="F105" t="s">
        <v>39</v>
      </c>
      <c r="G105" t="s">
        <v>40</v>
      </c>
      <c r="H105" t="s">
        <v>10</v>
      </c>
      <c r="I105">
        <v>0.45</v>
      </c>
      <c r="J105">
        <v>9500</v>
      </c>
      <c r="K105">
        <v>30</v>
      </c>
      <c r="L105">
        <v>4275</v>
      </c>
      <c r="M105" t="s">
        <v>31</v>
      </c>
    </row>
    <row r="106" spans="1:13" ht="14" x14ac:dyDescent="0.15">
      <c r="A106" t="s">
        <v>15</v>
      </c>
      <c r="B106" t="s">
        <v>38</v>
      </c>
      <c r="C106">
        <v>1197831</v>
      </c>
      <c r="D106" s="1">
        <v>44713</v>
      </c>
      <c r="E106" s="1">
        <v>44743</v>
      </c>
      <c r="F106" t="s">
        <v>39</v>
      </c>
      <c r="G106" t="s">
        <v>40</v>
      </c>
      <c r="H106" t="s">
        <v>11</v>
      </c>
      <c r="I106">
        <v>0.4</v>
      </c>
      <c r="J106">
        <v>8000</v>
      </c>
      <c r="K106">
        <v>30</v>
      </c>
      <c r="L106">
        <v>3200</v>
      </c>
      <c r="M106" t="s">
        <v>31</v>
      </c>
    </row>
    <row r="107" spans="1:13" ht="14" x14ac:dyDescent="0.15">
      <c r="A107" t="s">
        <v>15</v>
      </c>
      <c r="B107" t="s">
        <v>38</v>
      </c>
      <c r="C107">
        <v>1197831</v>
      </c>
      <c r="D107" s="1">
        <v>44713</v>
      </c>
      <c r="E107" s="1">
        <v>44743</v>
      </c>
      <c r="F107" t="s">
        <v>39</v>
      </c>
      <c r="G107" t="s">
        <v>40</v>
      </c>
      <c r="H107" t="s">
        <v>12</v>
      </c>
      <c r="I107">
        <v>0.4</v>
      </c>
      <c r="J107">
        <v>7500</v>
      </c>
      <c r="K107">
        <v>30</v>
      </c>
      <c r="L107">
        <v>3000</v>
      </c>
      <c r="M107" t="s">
        <v>31</v>
      </c>
    </row>
    <row r="108" spans="1:13" ht="14" x14ac:dyDescent="0.15">
      <c r="A108" t="s">
        <v>15</v>
      </c>
      <c r="B108" t="s">
        <v>38</v>
      </c>
      <c r="C108">
        <v>1197831</v>
      </c>
      <c r="D108" s="1">
        <v>44713</v>
      </c>
      <c r="E108" s="1">
        <v>44743</v>
      </c>
      <c r="F108" t="s">
        <v>39</v>
      </c>
      <c r="G108" t="s">
        <v>40</v>
      </c>
      <c r="H108" t="s">
        <v>13</v>
      </c>
      <c r="I108">
        <v>0.45</v>
      </c>
      <c r="J108">
        <v>6500</v>
      </c>
      <c r="K108">
        <v>30</v>
      </c>
      <c r="L108">
        <v>2925</v>
      </c>
      <c r="M108" t="s">
        <v>31</v>
      </c>
    </row>
    <row r="109" spans="1:13" ht="14" x14ac:dyDescent="0.15">
      <c r="A109" t="s">
        <v>15</v>
      </c>
      <c r="B109" t="s">
        <v>38</v>
      </c>
      <c r="C109">
        <v>1197831</v>
      </c>
      <c r="D109" s="1">
        <v>44713</v>
      </c>
      <c r="E109" s="1">
        <v>44743</v>
      </c>
      <c r="F109" t="s">
        <v>39</v>
      </c>
      <c r="G109" t="s">
        <v>40</v>
      </c>
      <c r="H109" t="s">
        <v>14</v>
      </c>
      <c r="I109">
        <v>0.5</v>
      </c>
      <c r="J109">
        <v>10000</v>
      </c>
      <c r="K109">
        <v>30</v>
      </c>
      <c r="L109">
        <v>5000</v>
      </c>
      <c r="M109" t="s">
        <v>31</v>
      </c>
    </row>
    <row r="110" spans="1:13" ht="14" x14ac:dyDescent="0.15">
      <c r="A110" t="s">
        <v>15</v>
      </c>
      <c r="B110" t="s">
        <v>38</v>
      </c>
      <c r="C110">
        <v>1197831</v>
      </c>
      <c r="D110" s="1">
        <v>44745</v>
      </c>
      <c r="E110" s="1">
        <v>44775</v>
      </c>
      <c r="F110" t="s">
        <v>39</v>
      </c>
      <c r="G110" t="s">
        <v>40</v>
      </c>
      <c r="H110" t="s">
        <v>9</v>
      </c>
      <c r="I110">
        <v>0.4</v>
      </c>
      <c r="J110">
        <v>9500</v>
      </c>
      <c r="K110">
        <v>30</v>
      </c>
      <c r="L110">
        <v>3800</v>
      </c>
      <c r="M110" t="s">
        <v>32</v>
      </c>
    </row>
    <row r="111" spans="1:13" ht="14" x14ac:dyDescent="0.15">
      <c r="A111" t="s">
        <v>15</v>
      </c>
      <c r="B111" t="s">
        <v>38</v>
      </c>
      <c r="C111">
        <v>1197831</v>
      </c>
      <c r="D111" s="1">
        <v>44745</v>
      </c>
      <c r="E111" s="1">
        <v>44775</v>
      </c>
      <c r="F111" t="s">
        <v>39</v>
      </c>
      <c r="G111" t="s">
        <v>40</v>
      </c>
      <c r="H111" t="s">
        <v>10</v>
      </c>
      <c r="I111">
        <v>0.45</v>
      </c>
      <c r="J111">
        <v>9500</v>
      </c>
      <c r="K111">
        <v>30</v>
      </c>
      <c r="L111">
        <v>4275</v>
      </c>
      <c r="M111" t="s">
        <v>32</v>
      </c>
    </row>
    <row r="112" spans="1:13" ht="14" x14ac:dyDescent="0.15">
      <c r="A112" t="s">
        <v>15</v>
      </c>
      <c r="B112" t="s">
        <v>38</v>
      </c>
      <c r="C112">
        <v>1197831</v>
      </c>
      <c r="D112" s="1">
        <v>44745</v>
      </c>
      <c r="E112" s="1">
        <v>44775</v>
      </c>
      <c r="F112" t="s">
        <v>39</v>
      </c>
      <c r="G112" t="s">
        <v>40</v>
      </c>
      <c r="H112" t="s">
        <v>11</v>
      </c>
      <c r="I112">
        <v>0.4</v>
      </c>
      <c r="J112">
        <v>11000</v>
      </c>
      <c r="K112">
        <v>30</v>
      </c>
      <c r="L112">
        <v>4400</v>
      </c>
      <c r="M112" t="s">
        <v>32</v>
      </c>
    </row>
    <row r="113" spans="1:13" ht="14" x14ac:dyDescent="0.15">
      <c r="A113" t="s">
        <v>15</v>
      </c>
      <c r="B113" t="s">
        <v>38</v>
      </c>
      <c r="C113">
        <v>1197831</v>
      </c>
      <c r="D113" s="1">
        <v>44745</v>
      </c>
      <c r="E113" s="1">
        <v>44775</v>
      </c>
      <c r="F113" t="s">
        <v>39</v>
      </c>
      <c r="G113" t="s">
        <v>40</v>
      </c>
      <c r="H113" t="s">
        <v>12</v>
      </c>
      <c r="I113">
        <v>0.4</v>
      </c>
      <c r="J113">
        <v>7000</v>
      </c>
      <c r="K113">
        <v>30</v>
      </c>
      <c r="L113">
        <v>2800</v>
      </c>
      <c r="M113" t="s">
        <v>32</v>
      </c>
    </row>
    <row r="114" spans="1:13" ht="14" x14ac:dyDescent="0.15">
      <c r="A114" t="s">
        <v>15</v>
      </c>
      <c r="B114" t="s">
        <v>38</v>
      </c>
      <c r="C114">
        <v>1197831</v>
      </c>
      <c r="D114" s="1">
        <v>44745</v>
      </c>
      <c r="E114" s="1">
        <v>44775</v>
      </c>
      <c r="F114" t="s">
        <v>39</v>
      </c>
      <c r="G114" t="s">
        <v>40</v>
      </c>
      <c r="H114" t="s">
        <v>13</v>
      </c>
      <c r="I114">
        <v>0.45</v>
      </c>
      <c r="J114">
        <v>7000</v>
      </c>
      <c r="K114">
        <v>30</v>
      </c>
      <c r="L114">
        <v>3150</v>
      </c>
      <c r="M114" t="s">
        <v>32</v>
      </c>
    </row>
    <row r="115" spans="1:13" ht="14" x14ac:dyDescent="0.15">
      <c r="A115" t="s">
        <v>15</v>
      </c>
      <c r="B115" t="s">
        <v>38</v>
      </c>
      <c r="C115">
        <v>1197831</v>
      </c>
      <c r="D115" s="1">
        <v>44745</v>
      </c>
      <c r="E115" s="1">
        <v>44775</v>
      </c>
      <c r="F115" t="s">
        <v>39</v>
      </c>
      <c r="G115" t="s">
        <v>40</v>
      </c>
      <c r="H115" t="s">
        <v>14</v>
      </c>
      <c r="I115">
        <v>0.5</v>
      </c>
      <c r="J115">
        <v>9750</v>
      </c>
      <c r="K115">
        <v>30</v>
      </c>
      <c r="L115">
        <v>4875</v>
      </c>
      <c r="M115" t="s">
        <v>32</v>
      </c>
    </row>
    <row r="116" spans="1:13" ht="14" x14ac:dyDescent="0.15">
      <c r="A116" t="s">
        <v>15</v>
      </c>
      <c r="B116" t="s">
        <v>38</v>
      </c>
      <c r="C116">
        <v>1197831</v>
      </c>
      <c r="D116" s="1">
        <v>44778</v>
      </c>
      <c r="E116" s="1">
        <v>44808</v>
      </c>
      <c r="F116" t="s">
        <v>39</v>
      </c>
      <c r="G116" t="s">
        <v>40</v>
      </c>
      <c r="H116" t="s">
        <v>9</v>
      </c>
      <c r="I116">
        <v>0.4</v>
      </c>
      <c r="J116">
        <v>9250</v>
      </c>
      <c r="K116">
        <v>30</v>
      </c>
      <c r="L116">
        <v>3700</v>
      </c>
      <c r="M116" t="s">
        <v>33</v>
      </c>
    </row>
    <row r="117" spans="1:13" ht="14" x14ac:dyDescent="0.15">
      <c r="A117" t="s">
        <v>15</v>
      </c>
      <c r="B117" t="s">
        <v>38</v>
      </c>
      <c r="C117">
        <v>1197831</v>
      </c>
      <c r="D117" s="1">
        <v>44778</v>
      </c>
      <c r="E117" s="1">
        <v>44808</v>
      </c>
      <c r="F117" t="s">
        <v>39</v>
      </c>
      <c r="G117" t="s">
        <v>40</v>
      </c>
      <c r="H117" t="s">
        <v>10</v>
      </c>
      <c r="I117">
        <v>0.45</v>
      </c>
      <c r="J117">
        <v>9250</v>
      </c>
      <c r="K117">
        <v>30</v>
      </c>
      <c r="L117">
        <v>4162.5</v>
      </c>
      <c r="M117" t="s">
        <v>33</v>
      </c>
    </row>
    <row r="118" spans="1:13" ht="14" x14ac:dyDescent="0.15">
      <c r="A118" t="s">
        <v>15</v>
      </c>
      <c r="B118" t="s">
        <v>38</v>
      </c>
      <c r="C118">
        <v>1197831</v>
      </c>
      <c r="D118" s="1">
        <v>44778</v>
      </c>
      <c r="E118" s="1">
        <v>44808</v>
      </c>
      <c r="F118" t="s">
        <v>39</v>
      </c>
      <c r="G118" t="s">
        <v>40</v>
      </c>
      <c r="H118" t="s">
        <v>11</v>
      </c>
      <c r="I118">
        <v>0.4</v>
      </c>
      <c r="J118">
        <v>11000</v>
      </c>
      <c r="K118">
        <v>30</v>
      </c>
      <c r="L118">
        <v>4400</v>
      </c>
      <c r="M118" t="s">
        <v>33</v>
      </c>
    </row>
    <row r="119" spans="1:13" ht="14" x14ac:dyDescent="0.15">
      <c r="A119" t="s">
        <v>15</v>
      </c>
      <c r="B119" t="s">
        <v>38</v>
      </c>
      <c r="C119">
        <v>1197831</v>
      </c>
      <c r="D119" s="1">
        <v>44778</v>
      </c>
      <c r="E119" s="1">
        <v>44808</v>
      </c>
      <c r="F119" t="s">
        <v>39</v>
      </c>
      <c r="G119" t="s">
        <v>40</v>
      </c>
      <c r="H119" t="s">
        <v>12</v>
      </c>
      <c r="I119">
        <v>0.4</v>
      </c>
      <c r="J119">
        <v>6500</v>
      </c>
      <c r="K119">
        <v>30</v>
      </c>
      <c r="L119">
        <v>2600</v>
      </c>
      <c r="M119" t="s">
        <v>33</v>
      </c>
    </row>
    <row r="120" spans="1:13" ht="14" x14ac:dyDescent="0.15">
      <c r="A120" t="s">
        <v>15</v>
      </c>
      <c r="B120" t="s">
        <v>38</v>
      </c>
      <c r="C120">
        <v>1197831</v>
      </c>
      <c r="D120" s="1">
        <v>44778</v>
      </c>
      <c r="E120" s="1">
        <v>44808</v>
      </c>
      <c r="F120" t="s">
        <v>39</v>
      </c>
      <c r="G120" t="s">
        <v>40</v>
      </c>
      <c r="H120" t="s">
        <v>13</v>
      </c>
      <c r="I120">
        <v>0.45</v>
      </c>
      <c r="J120">
        <v>6500</v>
      </c>
      <c r="K120">
        <v>30</v>
      </c>
      <c r="L120">
        <v>2925</v>
      </c>
      <c r="M120" t="s">
        <v>33</v>
      </c>
    </row>
    <row r="121" spans="1:13" ht="14" x14ac:dyDescent="0.15">
      <c r="A121" t="s">
        <v>15</v>
      </c>
      <c r="B121" t="s">
        <v>38</v>
      </c>
      <c r="C121">
        <v>1197831</v>
      </c>
      <c r="D121" s="1">
        <v>44778</v>
      </c>
      <c r="E121" s="1">
        <v>44808</v>
      </c>
      <c r="F121" t="s">
        <v>39</v>
      </c>
      <c r="G121" t="s">
        <v>40</v>
      </c>
      <c r="H121" t="s">
        <v>14</v>
      </c>
      <c r="I121">
        <v>0.5</v>
      </c>
      <c r="J121">
        <v>9000</v>
      </c>
      <c r="K121">
        <v>30</v>
      </c>
      <c r="L121">
        <v>4500</v>
      </c>
      <c r="M121" t="s">
        <v>33</v>
      </c>
    </row>
    <row r="122" spans="1:13" ht="14" x14ac:dyDescent="0.15">
      <c r="A122" t="s">
        <v>15</v>
      </c>
      <c r="B122" t="s">
        <v>38</v>
      </c>
      <c r="C122">
        <v>1197831</v>
      </c>
      <c r="D122" s="1">
        <v>44806</v>
      </c>
      <c r="E122" s="1">
        <v>44836</v>
      </c>
      <c r="F122" t="s">
        <v>39</v>
      </c>
      <c r="G122" t="s">
        <v>40</v>
      </c>
      <c r="H122" t="s">
        <v>9</v>
      </c>
      <c r="I122">
        <v>0.45</v>
      </c>
      <c r="J122">
        <v>8500</v>
      </c>
      <c r="K122">
        <v>30</v>
      </c>
      <c r="L122">
        <v>3825</v>
      </c>
      <c r="M122" t="s">
        <v>34</v>
      </c>
    </row>
    <row r="123" spans="1:13" ht="14" x14ac:dyDescent="0.15">
      <c r="A123" t="s">
        <v>15</v>
      </c>
      <c r="B123" t="s">
        <v>38</v>
      </c>
      <c r="C123">
        <v>1197831</v>
      </c>
      <c r="D123" s="1">
        <v>44806</v>
      </c>
      <c r="E123" s="1">
        <v>44836</v>
      </c>
      <c r="F123" t="s">
        <v>39</v>
      </c>
      <c r="G123" t="s">
        <v>40</v>
      </c>
      <c r="H123" t="s">
        <v>10</v>
      </c>
      <c r="I123">
        <v>0.45</v>
      </c>
      <c r="J123">
        <v>8500</v>
      </c>
      <c r="K123">
        <v>30</v>
      </c>
      <c r="L123">
        <v>3825</v>
      </c>
      <c r="M123" t="s">
        <v>34</v>
      </c>
    </row>
    <row r="124" spans="1:13" ht="14" x14ac:dyDescent="0.15">
      <c r="A124" t="s">
        <v>15</v>
      </c>
      <c r="B124" t="s">
        <v>38</v>
      </c>
      <c r="C124">
        <v>1197831</v>
      </c>
      <c r="D124" s="1">
        <v>44806</v>
      </c>
      <c r="E124" s="1">
        <v>44836</v>
      </c>
      <c r="F124" t="s">
        <v>39</v>
      </c>
      <c r="G124" t="s">
        <v>40</v>
      </c>
      <c r="H124" t="s">
        <v>11</v>
      </c>
      <c r="I124">
        <v>0.5</v>
      </c>
      <c r="J124">
        <v>9000</v>
      </c>
      <c r="K124">
        <v>30</v>
      </c>
      <c r="L124">
        <v>4500</v>
      </c>
      <c r="M124" t="s">
        <v>34</v>
      </c>
    </row>
    <row r="125" spans="1:13" ht="14" x14ac:dyDescent="0.15">
      <c r="A125" t="s">
        <v>15</v>
      </c>
      <c r="B125" t="s">
        <v>38</v>
      </c>
      <c r="C125">
        <v>1197831</v>
      </c>
      <c r="D125" s="1">
        <v>44806</v>
      </c>
      <c r="E125" s="1">
        <v>44836</v>
      </c>
      <c r="F125" t="s">
        <v>39</v>
      </c>
      <c r="G125" t="s">
        <v>40</v>
      </c>
      <c r="H125" t="s">
        <v>12</v>
      </c>
      <c r="I125">
        <v>0.5</v>
      </c>
      <c r="J125">
        <v>6250</v>
      </c>
      <c r="K125">
        <v>30</v>
      </c>
      <c r="L125">
        <v>3125</v>
      </c>
      <c r="M125" t="s">
        <v>34</v>
      </c>
    </row>
    <row r="126" spans="1:13" ht="14" x14ac:dyDescent="0.15">
      <c r="A126" t="s">
        <v>15</v>
      </c>
      <c r="B126" t="s">
        <v>38</v>
      </c>
      <c r="C126">
        <v>1197831</v>
      </c>
      <c r="D126" s="1">
        <v>44806</v>
      </c>
      <c r="E126" s="1">
        <v>44836</v>
      </c>
      <c r="F126" t="s">
        <v>39</v>
      </c>
      <c r="G126" t="s">
        <v>40</v>
      </c>
      <c r="H126" t="s">
        <v>13</v>
      </c>
      <c r="I126">
        <v>0.45</v>
      </c>
      <c r="J126">
        <v>6250</v>
      </c>
      <c r="K126">
        <v>30</v>
      </c>
      <c r="L126">
        <v>2812.5</v>
      </c>
      <c r="M126" t="s">
        <v>34</v>
      </c>
    </row>
    <row r="127" spans="1:13" ht="14" x14ac:dyDescent="0.15">
      <c r="A127" t="s">
        <v>15</v>
      </c>
      <c r="B127" t="s">
        <v>38</v>
      </c>
      <c r="C127">
        <v>1197831</v>
      </c>
      <c r="D127" s="1">
        <v>44806</v>
      </c>
      <c r="E127" s="1">
        <v>44836</v>
      </c>
      <c r="F127" t="s">
        <v>39</v>
      </c>
      <c r="G127" t="s">
        <v>40</v>
      </c>
      <c r="H127" t="s">
        <v>14</v>
      </c>
      <c r="I127">
        <v>0.55000000000000004</v>
      </c>
      <c r="J127">
        <v>8500</v>
      </c>
      <c r="K127">
        <v>30</v>
      </c>
      <c r="L127">
        <v>4675</v>
      </c>
      <c r="M127" t="s">
        <v>34</v>
      </c>
    </row>
    <row r="128" spans="1:13" ht="14" x14ac:dyDescent="0.15">
      <c r="A128" t="s">
        <v>15</v>
      </c>
      <c r="B128" t="s">
        <v>38</v>
      </c>
      <c r="C128">
        <v>1197831</v>
      </c>
      <c r="D128" s="1">
        <v>44835</v>
      </c>
      <c r="E128" s="1">
        <v>44865</v>
      </c>
      <c r="F128" t="s">
        <v>39</v>
      </c>
      <c r="G128" t="s">
        <v>40</v>
      </c>
      <c r="H128" t="s">
        <v>9</v>
      </c>
      <c r="I128">
        <v>0.45</v>
      </c>
      <c r="J128">
        <v>8000</v>
      </c>
      <c r="K128">
        <v>30</v>
      </c>
      <c r="L128">
        <v>3600</v>
      </c>
      <c r="M128" t="s">
        <v>34</v>
      </c>
    </row>
    <row r="129" spans="1:13" ht="14" x14ac:dyDescent="0.15">
      <c r="A129" t="s">
        <v>15</v>
      </c>
      <c r="B129" t="s">
        <v>38</v>
      </c>
      <c r="C129">
        <v>1197831</v>
      </c>
      <c r="D129" s="1">
        <v>44835</v>
      </c>
      <c r="E129" s="1">
        <v>44865</v>
      </c>
      <c r="F129" t="s">
        <v>39</v>
      </c>
      <c r="G129" t="s">
        <v>40</v>
      </c>
      <c r="H129" t="s">
        <v>10</v>
      </c>
      <c r="I129">
        <v>0.45</v>
      </c>
      <c r="J129">
        <v>8000</v>
      </c>
      <c r="K129">
        <v>30</v>
      </c>
      <c r="L129">
        <v>3600</v>
      </c>
      <c r="M129" t="s">
        <v>34</v>
      </c>
    </row>
    <row r="130" spans="1:13" ht="14" x14ac:dyDescent="0.15">
      <c r="A130" t="s">
        <v>15</v>
      </c>
      <c r="B130" t="s">
        <v>38</v>
      </c>
      <c r="C130">
        <v>1197831</v>
      </c>
      <c r="D130" s="1">
        <v>44835</v>
      </c>
      <c r="E130" s="1">
        <v>44865</v>
      </c>
      <c r="F130" t="s">
        <v>39</v>
      </c>
      <c r="G130" t="s">
        <v>40</v>
      </c>
      <c r="H130" t="s">
        <v>11</v>
      </c>
      <c r="I130">
        <v>0.5</v>
      </c>
      <c r="J130">
        <v>7500</v>
      </c>
      <c r="K130">
        <v>30</v>
      </c>
      <c r="L130">
        <v>3750</v>
      </c>
      <c r="M130" t="s">
        <v>34</v>
      </c>
    </row>
    <row r="131" spans="1:13" ht="14" x14ac:dyDescent="0.15">
      <c r="A131" t="s">
        <v>15</v>
      </c>
      <c r="B131" t="s">
        <v>38</v>
      </c>
      <c r="C131">
        <v>1197831</v>
      </c>
      <c r="D131" s="1">
        <v>44835</v>
      </c>
      <c r="E131" s="1">
        <v>44865</v>
      </c>
      <c r="F131" t="s">
        <v>39</v>
      </c>
      <c r="G131" t="s">
        <v>40</v>
      </c>
      <c r="H131" t="s">
        <v>12</v>
      </c>
      <c r="I131">
        <v>0.5</v>
      </c>
      <c r="J131">
        <v>6000</v>
      </c>
      <c r="K131">
        <v>30</v>
      </c>
      <c r="L131">
        <v>3000</v>
      </c>
      <c r="M131" t="s">
        <v>34</v>
      </c>
    </row>
    <row r="132" spans="1:13" ht="14" x14ac:dyDescent="0.15">
      <c r="A132" t="s">
        <v>15</v>
      </c>
      <c r="B132" t="s">
        <v>38</v>
      </c>
      <c r="C132">
        <v>1197831</v>
      </c>
      <c r="D132" s="1">
        <v>44835</v>
      </c>
      <c r="E132" s="1">
        <v>44865</v>
      </c>
      <c r="F132" t="s">
        <v>39</v>
      </c>
      <c r="G132" t="s">
        <v>40</v>
      </c>
      <c r="H132" t="s">
        <v>13</v>
      </c>
      <c r="I132">
        <v>0.45</v>
      </c>
      <c r="J132">
        <v>5750</v>
      </c>
      <c r="K132">
        <v>30</v>
      </c>
      <c r="L132">
        <v>2587.5</v>
      </c>
      <c r="M132" t="s">
        <v>34</v>
      </c>
    </row>
    <row r="133" spans="1:13" ht="14" x14ac:dyDescent="0.15">
      <c r="A133" t="s">
        <v>15</v>
      </c>
      <c r="B133" t="s">
        <v>38</v>
      </c>
      <c r="C133">
        <v>1197831</v>
      </c>
      <c r="D133" s="1">
        <v>44835</v>
      </c>
      <c r="E133" s="1">
        <v>44865</v>
      </c>
      <c r="F133" t="s">
        <v>39</v>
      </c>
      <c r="G133" t="s">
        <v>40</v>
      </c>
      <c r="H133" t="s">
        <v>14</v>
      </c>
      <c r="I133">
        <v>0.55000000000000004</v>
      </c>
      <c r="J133">
        <v>7500</v>
      </c>
      <c r="K133">
        <v>30</v>
      </c>
      <c r="L133">
        <v>4125</v>
      </c>
      <c r="M133" t="s">
        <v>34</v>
      </c>
    </row>
    <row r="134" spans="1:13" ht="14" x14ac:dyDescent="0.15">
      <c r="A134" t="s">
        <v>15</v>
      </c>
      <c r="B134" t="s">
        <v>38</v>
      </c>
      <c r="C134">
        <v>1197831</v>
      </c>
      <c r="D134" s="1">
        <v>44867</v>
      </c>
      <c r="E134" s="1">
        <v>44897</v>
      </c>
      <c r="F134" t="s">
        <v>39</v>
      </c>
      <c r="G134" t="s">
        <v>40</v>
      </c>
      <c r="H134" t="s">
        <v>9</v>
      </c>
      <c r="I134">
        <v>0.45</v>
      </c>
      <c r="J134">
        <v>9000</v>
      </c>
      <c r="K134">
        <v>30</v>
      </c>
      <c r="L134">
        <v>4050</v>
      </c>
      <c r="M134" t="s">
        <v>36</v>
      </c>
    </row>
    <row r="135" spans="1:13" ht="14" x14ac:dyDescent="0.15">
      <c r="A135" t="s">
        <v>15</v>
      </c>
      <c r="B135" t="s">
        <v>38</v>
      </c>
      <c r="C135">
        <v>1197831</v>
      </c>
      <c r="D135" s="1">
        <v>44867</v>
      </c>
      <c r="E135" s="1">
        <v>44897</v>
      </c>
      <c r="F135" t="s">
        <v>39</v>
      </c>
      <c r="G135" t="s">
        <v>40</v>
      </c>
      <c r="H135" t="s">
        <v>10</v>
      </c>
      <c r="I135">
        <v>0.45</v>
      </c>
      <c r="J135">
        <v>9000</v>
      </c>
      <c r="K135">
        <v>30</v>
      </c>
      <c r="L135">
        <v>4050</v>
      </c>
      <c r="M135" t="s">
        <v>36</v>
      </c>
    </row>
    <row r="136" spans="1:13" ht="14" x14ac:dyDescent="0.15">
      <c r="A136" t="s">
        <v>15</v>
      </c>
      <c r="B136" t="s">
        <v>38</v>
      </c>
      <c r="C136">
        <v>1197831</v>
      </c>
      <c r="D136" s="1">
        <v>44867</v>
      </c>
      <c r="E136" s="1">
        <v>44897</v>
      </c>
      <c r="F136" t="s">
        <v>39</v>
      </c>
      <c r="G136" t="s">
        <v>40</v>
      </c>
      <c r="H136" t="s">
        <v>11</v>
      </c>
      <c r="I136">
        <v>0.5</v>
      </c>
      <c r="J136">
        <v>8250</v>
      </c>
      <c r="K136">
        <v>30</v>
      </c>
      <c r="L136">
        <v>4125</v>
      </c>
      <c r="M136" t="s">
        <v>36</v>
      </c>
    </row>
    <row r="137" spans="1:13" ht="14" x14ac:dyDescent="0.15">
      <c r="A137" t="s">
        <v>15</v>
      </c>
      <c r="B137" t="s">
        <v>38</v>
      </c>
      <c r="C137">
        <v>1197831</v>
      </c>
      <c r="D137" s="1">
        <v>44867</v>
      </c>
      <c r="E137" s="1">
        <v>44897</v>
      </c>
      <c r="F137" t="s">
        <v>39</v>
      </c>
      <c r="G137" t="s">
        <v>40</v>
      </c>
      <c r="H137" t="s">
        <v>12</v>
      </c>
      <c r="I137">
        <v>0.5</v>
      </c>
      <c r="J137">
        <v>6750</v>
      </c>
      <c r="K137">
        <v>30</v>
      </c>
      <c r="L137">
        <v>3375</v>
      </c>
      <c r="M137" t="s">
        <v>36</v>
      </c>
    </row>
    <row r="138" spans="1:13" ht="14" x14ac:dyDescent="0.15">
      <c r="A138" t="s">
        <v>15</v>
      </c>
      <c r="B138" t="s">
        <v>38</v>
      </c>
      <c r="C138">
        <v>1197831</v>
      </c>
      <c r="D138" s="1">
        <v>44867</v>
      </c>
      <c r="E138" s="1">
        <v>44897</v>
      </c>
      <c r="F138" t="s">
        <v>39</v>
      </c>
      <c r="G138" t="s">
        <v>40</v>
      </c>
      <c r="H138" t="s">
        <v>13</v>
      </c>
      <c r="I138">
        <v>0.45</v>
      </c>
      <c r="J138">
        <v>6500</v>
      </c>
      <c r="K138">
        <v>30</v>
      </c>
      <c r="L138">
        <v>2925</v>
      </c>
      <c r="M138" t="s">
        <v>36</v>
      </c>
    </row>
    <row r="139" spans="1:13" ht="14" x14ac:dyDescent="0.15">
      <c r="A139" t="s">
        <v>15</v>
      </c>
      <c r="B139" t="s">
        <v>38</v>
      </c>
      <c r="C139">
        <v>1197831</v>
      </c>
      <c r="D139" s="1">
        <v>44867</v>
      </c>
      <c r="E139" s="1">
        <v>44897</v>
      </c>
      <c r="F139" t="s">
        <v>39</v>
      </c>
      <c r="G139" t="s">
        <v>40</v>
      </c>
      <c r="H139" t="s">
        <v>14</v>
      </c>
      <c r="I139">
        <v>0.55000000000000004</v>
      </c>
      <c r="J139">
        <v>8500</v>
      </c>
      <c r="K139">
        <v>30</v>
      </c>
      <c r="L139">
        <v>4675</v>
      </c>
      <c r="M139" t="s">
        <v>36</v>
      </c>
    </row>
    <row r="140" spans="1:13" ht="14" x14ac:dyDescent="0.15">
      <c r="A140" t="s">
        <v>15</v>
      </c>
      <c r="B140" t="s">
        <v>38</v>
      </c>
      <c r="C140">
        <v>1197831</v>
      </c>
      <c r="D140" s="1">
        <v>44896</v>
      </c>
      <c r="E140" s="1">
        <v>44926</v>
      </c>
      <c r="F140" t="s">
        <v>39</v>
      </c>
      <c r="G140" t="s">
        <v>40</v>
      </c>
      <c r="H140" t="s">
        <v>9</v>
      </c>
      <c r="I140">
        <v>0.45</v>
      </c>
      <c r="J140">
        <v>9500</v>
      </c>
      <c r="K140">
        <v>30</v>
      </c>
      <c r="L140">
        <v>4275</v>
      </c>
      <c r="M140" t="s">
        <v>36</v>
      </c>
    </row>
    <row r="141" spans="1:13" ht="14" x14ac:dyDescent="0.15">
      <c r="A141" t="s">
        <v>15</v>
      </c>
      <c r="B141" t="s">
        <v>38</v>
      </c>
      <c r="C141">
        <v>1197831</v>
      </c>
      <c r="D141" s="1">
        <v>44896</v>
      </c>
      <c r="E141" s="1">
        <v>44926</v>
      </c>
      <c r="F141" t="s">
        <v>39</v>
      </c>
      <c r="G141" t="s">
        <v>40</v>
      </c>
      <c r="H141" t="s">
        <v>10</v>
      </c>
      <c r="I141">
        <v>0.45</v>
      </c>
      <c r="J141">
        <v>9500</v>
      </c>
      <c r="K141">
        <v>30</v>
      </c>
      <c r="L141">
        <v>4275</v>
      </c>
      <c r="M141" t="s">
        <v>36</v>
      </c>
    </row>
    <row r="142" spans="1:13" ht="14" x14ac:dyDescent="0.15">
      <c r="A142" t="s">
        <v>15</v>
      </c>
      <c r="B142" t="s">
        <v>38</v>
      </c>
      <c r="C142">
        <v>1197831</v>
      </c>
      <c r="D142" s="1">
        <v>44896</v>
      </c>
      <c r="E142" s="1">
        <v>44926</v>
      </c>
      <c r="F142" t="s">
        <v>39</v>
      </c>
      <c r="G142" t="s">
        <v>40</v>
      </c>
      <c r="H142" t="s">
        <v>11</v>
      </c>
      <c r="I142">
        <v>0.5</v>
      </c>
      <c r="J142">
        <v>8500</v>
      </c>
      <c r="K142">
        <v>30</v>
      </c>
      <c r="L142">
        <v>4250</v>
      </c>
      <c r="M142" t="s">
        <v>36</v>
      </c>
    </row>
    <row r="143" spans="1:13" ht="14" x14ac:dyDescent="0.15">
      <c r="A143" t="s">
        <v>15</v>
      </c>
      <c r="B143" t="s">
        <v>38</v>
      </c>
      <c r="C143">
        <v>1197831</v>
      </c>
      <c r="D143" s="1">
        <v>44896</v>
      </c>
      <c r="E143" s="1">
        <v>44926</v>
      </c>
      <c r="F143" t="s">
        <v>39</v>
      </c>
      <c r="G143" t="s">
        <v>40</v>
      </c>
      <c r="H143" t="s">
        <v>12</v>
      </c>
      <c r="I143">
        <v>0.5</v>
      </c>
      <c r="J143">
        <v>7000</v>
      </c>
      <c r="K143">
        <v>30</v>
      </c>
      <c r="L143">
        <v>3500</v>
      </c>
      <c r="M143" t="s">
        <v>36</v>
      </c>
    </row>
    <row r="144" spans="1:13" ht="14" x14ac:dyDescent="0.15">
      <c r="A144" t="s">
        <v>15</v>
      </c>
      <c r="B144" t="s">
        <v>38</v>
      </c>
      <c r="C144">
        <v>1197831</v>
      </c>
      <c r="D144" s="1">
        <v>44896</v>
      </c>
      <c r="E144" s="1">
        <v>44926</v>
      </c>
      <c r="F144" t="s">
        <v>39</v>
      </c>
      <c r="G144" t="s">
        <v>40</v>
      </c>
      <c r="H144" t="s">
        <v>13</v>
      </c>
      <c r="I144">
        <v>0.45</v>
      </c>
      <c r="J144">
        <v>6500</v>
      </c>
      <c r="K144">
        <v>30</v>
      </c>
      <c r="L144">
        <v>2925</v>
      </c>
      <c r="M144" t="s">
        <v>36</v>
      </c>
    </row>
    <row r="145" spans="1:13" ht="14" x14ac:dyDescent="0.15">
      <c r="A145" t="s">
        <v>15</v>
      </c>
      <c r="B145" t="s">
        <v>38</v>
      </c>
      <c r="C145">
        <v>1197831</v>
      </c>
      <c r="D145" s="1">
        <v>44896</v>
      </c>
      <c r="E145" s="1">
        <v>44926</v>
      </c>
      <c r="F145" t="s">
        <v>39</v>
      </c>
      <c r="G145" t="s">
        <v>40</v>
      </c>
      <c r="H145" t="s">
        <v>14</v>
      </c>
      <c r="I145">
        <v>0.55000000000000004</v>
      </c>
      <c r="J145">
        <v>9000</v>
      </c>
      <c r="K145">
        <v>30</v>
      </c>
      <c r="L145">
        <v>4950</v>
      </c>
      <c r="M145" t="s">
        <v>36</v>
      </c>
    </row>
    <row r="146" spans="1:13" ht="14" x14ac:dyDescent="0.15">
      <c r="A146" t="s">
        <v>16</v>
      </c>
      <c r="B146" t="s">
        <v>41</v>
      </c>
      <c r="C146">
        <v>1189833</v>
      </c>
      <c r="D146" s="1">
        <v>44576</v>
      </c>
      <c r="E146" s="1">
        <v>44611</v>
      </c>
      <c r="F146" t="s">
        <v>24</v>
      </c>
      <c r="G146" t="s">
        <v>25</v>
      </c>
      <c r="H146" t="s">
        <v>9</v>
      </c>
      <c r="I146">
        <v>0.35</v>
      </c>
      <c r="J146">
        <v>7000</v>
      </c>
      <c r="K146">
        <v>35</v>
      </c>
      <c r="L146">
        <v>2450</v>
      </c>
      <c r="M146" t="s">
        <v>26</v>
      </c>
    </row>
    <row r="147" spans="1:13" ht="14" x14ac:dyDescent="0.15">
      <c r="A147" t="s">
        <v>16</v>
      </c>
      <c r="B147" t="s">
        <v>41</v>
      </c>
      <c r="C147">
        <v>1189833</v>
      </c>
      <c r="D147" s="1">
        <v>44576</v>
      </c>
      <c r="E147" s="1">
        <v>44606</v>
      </c>
      <c r="F147" t="s">
        <v>24</v>
      </c>
      <c r="G147" t="s">
        <v>25</v>
      </c>
      <c r="H147" t="s">
        <v>10</v>
      </c>
      <c r="I147">
        <v>0.45</v>
      </c>
      <c r="J147">
        <v>7000</v>
      </c>
      <c r="K147">
        <v>30</v>
      </c>
      <c r="L147">
        <v>3150</v>
      </c>
      <c r="M147" t="s">
        <v>26</v>
      </c>
    </row>
    <row r="148" spans="1:13" ht="14" x14ac:dyDescent="0.15">
      <c r="A148" t="s">
        <v>16</v>
      </c>
      <c r="B148" t="s">
        <v>41</v>
      </c>
      <c r="C148">
        <v>1189833</v>
      </c>
      <c r="D148" s="1">
        <v>44576</v>
      </c>
      <c r="E148" s="1">
        <v>44606</v>
      </c>
      <c r="F148" t="s">
        <v>24</v>
      </c>
      <c r="G148" t="s">
        <v>25</v>
      </c>
      <c r="H148" t="s">
        <v>11</v>
      </c>
      <c r="I148">
        <v>0.45</v>
      </c>
      <c r="J148">
        <v>7000</v>
      </c>
      <c r="K148">
        <v>30</v>
      </c>
      <c r="L148">
        <v>3150</v>
      </c>
      <c r="M148" t="s">
        <v>26</v>
      </c>
    </row>
    <row r="149" spans="1:13" ht="14" x14ac:dyDescent="0.15">
      <c r="A149" t="s">
        <v>16</v>
      </c>
      <c r="B149" t="s">
        <v>41</v>
      </c>
      <c r="C149">
        <v>1189833</v>
      </c>
      <c r="D149" s="1">
        <v>44576</v>
      </c>
      <c r="E149" s="1">
        <v>44606</v>
      </c>
      <c r="F149" t="s">
        <v>24</v>
      </c>
      <c r="G149" t="s">
        <v>25</v>
      </c>
      <c r="H149" t="s">
        <v>12</v>
      </c>
      <c r="I149">
        <v>0.45</v>
      </c>
      <c r="J149">
        <v>5500</v>
      </c>
      <c r="K149">
        <v>30</v>
      </c>
      <c r="L149">
        <v>2475</v>
      </c>
      <c r="M149" t="s">
        <v>26</v>
      </c>
    </row>
    <row r="150" spans="1:13" ht="14" x14ac:dyDescent="0.15">
      <c r="A150" t="s">
        <v>16</v>
      </c>
      <c r="B150" t="s">
        <v>41</v>
      </c>
      <c r="C150">
        <v>1189833</v>
      </c>
      <c r="D150" s="1">
        <v>44576</v>
      </c>
      <c r="E150" s="1">
        <v>44606</v>
      </c>
      <c r="F150" t="s">
        <v>24</v>
      </c>
      <c r="G150" t="s">
        <v>25</v>
      </c>
      <c r="H150" t="s">
        <v>13</v>
      </c>
      <c r="I150">
        <v>0.5</v>
      </c>
      <c r="J150">
        <v>5000</v>
      </c>
      <c r="K150">
        <v>30</v>
      </c>
      <c r="L150">
        <v>2500</v>
      </c>
      <c r="M150" t="s">
        <v>26</v>
      </c>
    </row>
    <row r="151" spans="1:13" ht="14" x14ac:dyDescent="0.15">
      <c r="A151" t="s">
        <v>16</v>
      </c>
      <c r="B151" t="s">
        <v>41</v>
      </c>
      <c r="C151">
        <v>1189833</v>
      </c>
      <c r="D151" s="1">
        <v>44576</v>
      </c>
      <c r="E151" s="1">
        <v>44606</v>
      </c>
      <c r="F151" t="s">
        <v>24</v>
      </c>
      <c r="G151" t="s">
        <v>25</v>
      </c>
      <c r="H151" t="s">
        <v>14</v>
      </c>
      <c r="I151">
        <v>0.45</v>
      </c>
      <c r="J151">
        <v>7000</v>
      </c>
      <c r="K151">
        <v>30</v>
      </c>
      <c r="L151">
        <v>3150</v>
      </c>
      <c r="M151" t="s">
        <v>26</v>
      </c>
    </row>
    <row r="152" spans="1:13" ht="14" x14ac:dyDescent="0.15">
      <c r="A152" t="s">
        <v>16</v>
      </c>
      <c r="B152" t="s">
        <v>41</v>
      </c>
      <c r="C152">
        <v>1189833</v>
      </c>
      <c r="D152" s="1">
        <v>44607</v>
      </c>
      <c r="E152" s="1">
        <v>44637</v>
      </c>
      <c r="F152" t="s">
        <v>24</v>
      </c>
      <c r="G152" t="s">
        <v>25</v>
      </c>
      <c r="H152" t="s">
        <v>9</v>
      </c>
      <c r="I152">
        <v>0.35</v>
      </c>
      <c r="J152">
        <v>7500</v>
      </c>
      <c r="K152">
        <v>30</v>
      </c>
      <c r="L152">
        <v>2625</v>
      </c>
      <c r="M152" t="s">
        <v>27</v>
      </c>
    </row>
    <row r="153" spans="1:13" ht="14" x14ac:dyDescent="0.15">
      <c r="A153" t="s">
        <v>16</v>
      </c>
      <c r="B153" t="s">
        <v>41</v>
      </c>
      <c r="C153">
        <v>1189833</v>
      </c>
      <c r="D153" s="1">
        <v>44607</v>
      </c>
      <c r="E153" s="1">
        <v>44637</v>
      </c>
      <c r="F153" t="s">
        <v>24</v>
      </c>
      <c r="G153" t="s">
        <v>25</v>
      </c>
      <c r="H153" t="s">
        <v>10</v>
      </c>
      <c r="I153">
        <v>0.45</v>
      </c>
      <c r="J153">
        <v>6500</v>
      </c>
      <c r="K153">
        <v>30</v>
      </c>
      <c r="L153">
        <v>2925</v>
      </c>
      <c r="M153" t="s">
        <v>27</v>
      </c>
    </row>
    <row r="154" spans="1:13" ht="14" x14ac:dyDescent="0.15">
      <c r="A154" t="s">
        <v>16</v>
      </c>
      <c r="B154" t="s">
        <v>41</v>
      </c>
      <c r="C154">
        <v>1189833</v>
      </c>
      <c r="D154" s="1">
        <v>44607</v>
      </c>
      <c r="E154" s="1">
        <v>44637</v>
      </c>
      <c r="F154" t="s">
        <v>24</v>
      </c>
      <c r="G154" t="s">
        <v>25</v>
      </c>
      <c r="H154" t="s">
        <v>11</v>
      </c>
      <c r="I154">
        <v>0.45</v>
      </c>
      <c r="J154">
        <v>6750</v>
      </c>
      <c r="K154">
        <v>30</v>
      </c>
      <c r="L154">
        <v>3037.5</v>
      </c>
      <c r="M154" t="s">
        <v>27</v>
      </c>
    </row>
    <row r="155" spans="1:13" ht="14" x14ac:dyDescent="0.15">
      <c r="A155" t="s">
        <v>16</v>
      </c>
      <c r="B155" t="s">
        <v>41</v>
      </c>
      <c r="C155">
        <v>1189833</v>
      </c>
      <c r="D155" s="1">
        <v>44607</v>
      </c>
      <c r="E155" s="1">
        <v>44637</v>
      </c>
      <c r="F155" t="s">
        <v>24</v>
      </c>
      <c r="G155" t="s">
        <v>25</v>
      </c>
      <c r="H155" t="s">
        <v>12</v>
      </c>
      <c r="I155">
        <v>0.45</v>
      </c>
      <c r="J155">
        <v>5250</v>
      </c>
      <c r="K155">
        <v>30</v>
      </c>
      <c r="L155">
        <v>2362.5</v>
      </c>
      <c r="M155" t="s">
        <v>27</v>
      </c>
    </row>
    <row r="156" spans="1:13" ht="14" x14ac:dyDescent="0.15">
      <c r="A156" t="s">
        <v>16</v>
      </c>
      <c r="B156" t="s">
        <v>41</v>
      </c>
      <c r="C156">
        <v>1189833</v>
      </c>
      <c r="D156" s="1">
        <v>44607</v>
      </c>
      <c r="E156" s="1">
        <v>44642</v>
      </c>
      <c r="F156" t="s">
        <v>24</v>
      </c>
      <c r="G156" t="s">
        <v>25</v>
      </c>
      <c r="H156" t="s">
        <v>13</v>
      </c>
      <c r="I156">
        <v>0.5</v>
      </c>
      <c r="J156">
        <v>4500</v>
      </c>
      <c r="K156">
        <v>35</v>
      </c>
      <c r="L156">
        <v>2250</v>
      </c>
      <c r="M156" t="s">
        <v>27</v>
      </c>
    </row>
    <row r="157" spans="1:13" ht="14" x14ac:dyDescent="0.15">
      <c r="A157" t="s">
        <v>16</v>
      </c>
      <c r="B157" t="s">
        <v>41</v>
      </c>
      <c r="C157">
        <v>1189833</v>
      </c>
      <c r="D157" s="1">
        <v>44607</v>
      </c>
      <c r="E157" s="1">
        <v>44645</v>
      </c>
      <c r="F157" t="s">
        <v>24</v>
      </c>
      <c r="G157" t="s">
        <v>25</v>
      </c>
      <c r="H157" t="s">
        <v>14</v>
      </c>
      <c r="I157">
        <v>0.45</v>
      </c>
      <c r="J157">
        <v>6500</v>
      </c>
      <c r="K157">
        <v>38</v>
      </c>
      <c r="L157">
        <v>2925</v>
      </c>
      <c r="M157" t="s">
        <v>27</v>
      </c>
    </row>
    <row r="158" spans="1:13" ht="14" x14ac:dyDescent="0.15">
      <c r="A158" t="s">
        <v>16</v>
      </c>
      <c r="B158" t="s">
        <v>41</v>
      </c>
      <c r="C158">
        <v>1189833</v>
      </c>
      <c r="D158" s="1">
        <v>44634</v>
      </c>
      <c r="E158" s="1">
        <v>44664</v>
      </c>
      <c r="F158" t="s">
        <v>24</v>
      </c>
      <c r="G158" t="s">
        <v>25</v>
      </c>
      <c r="H158" t="s">
        <v>9</v>
      </c>
      <c r="I158">
        <v>0.35</v>
      </c>
      <c r="J158">
        <v>8000</v>
      </c>
      <c r="K158">
        <v>30</v>
      </c>
      <c r="L158">
        <v>2800</v>
      </c>
      <c r="M158" t="s">
        <v>28</v>
      </c>
    </row>
    <row r="159" spans="1:13" ht="14" x14ac:dyDescent="0.15">
      <c r="A159" t="s">
        <v>16</v>
      </c>
      <c r="B159" t="s">
        <v>41</v>
      </c>
      <c r="C159">
        <v>1189833</v>
      </c>
      <c r="D159" s="1">
        <v>44634</v>
      </c>
      <c r="E159" s="1">
        <v>44664</v>
      </c>
      <c r="F159" t="s">
        <v>24</v>
      </c>
      <c r="G159" t="s">
        <v>25</v>
      </c>
      <c r="H159" t="s">
        <v>10</v>
      </c>
      <c r="I159">
        <v>0.45</v>
      </c>
      <c r="J159">
        <v>6500</v>
      </c>
      <c r="K159">
        <v>30</v>
      </c>
      <c r="L159">
        <v>2925</v>
      </c>
      <c r="M159" t="s">
        <v>28</v>
      </c>
    </row>
    <row r="160" spans="1:13" ht="14" x14ac:dyDescent="0.15">
      <c r="A160" t="s">
        <v>16</v>
      </c>
      <c r="B160" t="s">
        <v>41</v>
      </c>
      <c r="C160">
        <v>1189833</v>
      </c>
      <c r="D160" s="1">
        <v>44634</v>
      </c>
      <c r="E160" s="1">
        <v>44664</v>
      </c>
      <c r="F160" t="s">
        <v>24</v>
      </c>
      <c r="G160" t="s">
        <v>25</v>
      </c>
      <c r="H160" t="s">
        <v>11</v>
      </c>
      <c r="I160">
        <v>0.45</v>
      </c>
      <c r="J160">
        <v>6500</v>
      </c>
      <c r="K160">
        <v>30</v>
      </c>
      <c r="L160">
        <v>2925</v>
      </c>
      <c r="M160" t="s">
        <v>28</v>
      </c>
    </row>
    <row r="161" spans="1:13" ht="14" x14ac:dyDescent="0.15">
      <c r="A161" t="s">
        <v>16</v>
      </c>
      <c r="B161" t="s">
        <v>41</v>
      </c>
      <c r="C161">
        <v>1189833</v>
      </c>
      <c r="D161" s="1">
        <v>44634</v>
      </c>
      <c r="E161" s="1">
        <v>44664</v>
      </c>
      <c r="F161" t="s">
        <v>24</v>
      </c>
      <c r="G161" t="s">
        <v>25</v>
      </c>
      <c r="H161" t="s">
        <v>12</v>
      </c>
      <c r="I161">
        <v>0.45</v>
      </c>
      <c r="J161">
        <v>5500</v>
      </c>
      <c r="K161">
        <v>30</v>
      </c>
      <c r="L161">
        <v>2475</v>
      </c>
      <c r="M161" t="s">
        <v>28</v>
      </c>
    </row>
    <row r="162" spans="1:13" ht="14" x14ac:dyDescent="0.15">
      <c r="A162" t="s">
        <v>16</v>
      </c>
      <c r="B162" t="s">
        <v>41</v>
      </c>
      <c r="C162">
        <v>1189833</v>
      </c>
      <c r="D162" s="1">
        <v>44634</v>
      </c>
      <c r="E162" s="1">
        <v>44664</v>
      </c>
      <c r="F162" t="s">
        <v>24</v>
      </c>
      <c r="G162" t="s">
        <v>25</v>
      </c>
      <c r="H162" t="s">
        <v>13</v>
      </c>
      <c r="I162">
        <v>0.5</v>
      </c>
      <c r="J162">
        <v>4250</v>
      </c>
      <c r="K162">
        <v>30</v>
      </c>
      <c r="L162">
        <v>2125</v>
      </c>
      <c r="M162" t="s">
        <v>28</v>
      </c>
    </row>
    <row r="163" spans="1:13" ht="14" x14ac:dyDescent="0.15">
      <c r="A163" t="s">
        <v>16</v>
      </c>
      <c r="B163" t="s">
        <v>41</v>
      </c>
      <c r="C163">
        <v>1189833</v>
      </c>
      <c r="D163" s="1">
        <v>44634</v>
      </c>
      <c r="E163" s="1">
        <v>44664</v>
      </c>
      <c r="F163" t="s">
        <v>24</v>
      </c>
      <c r="G163" t="s">
        <v>25</v>
      </c>
      <c r="H163" t="s">
        <v>14</v>
      </c>
      <c r="I163">
        <v>0.45</v>
      </c>
      <c r="J163">
        <v>6250</v>
      </c>
      <c r="K163">
        <v>30</v>
      </c>
      <c r="L163">
        <v>2812.5</v>
      </c>
      <c r="M163" t="s">
        <v>28</v>
      </c>
    </row>
    <row r="164" spans="1:13" ht="14" x14ac:dyDescent="0.15">
      <c r="A164" t="s">
        <v>16</v>
      </c>
      <c r="B164" t="s">
        <v>41</v>
      </c>
      <c r="C164">
        <v>1189833</v>
      </c>
      <c r="D164" s="1">
        <v>44666</v>
      </c>
      <c r="E164" s="1">
        <v>44696</v>
      </c>
      <c r="F164" t="s">
        <v>24</v>
      </c>
      <c r="G164" t="s">
        <v>25</v>
      </c>
      <c r="H164" t="s">
        <v>9</v>
      </c>
      <c r="I164">
        <v>0.45</v>
      </c>
      <c r="J164">
        <v>8000</v>
      </c>
      <c r="K164">
        <v>30</v>
      </c>
      <c r="L164">
        <v>3600</v>
      </c>
      <c r="M164" t="s">
        <v>29</v>
      </c>
    </row>
    <row r="165" spans="1:13" ht="14" x14ac:dyDescent="0.15">
      <c r="A165" t="s">
        <v>16</v>
      </c>
      <c r="B165" t="s">
        <v>41</v>
      </c>
      <c r="C165">
        <v>1189833</v>
      </c>
      <c r="D165" s="1">
        <v>44666</v>
      </c>
      <c r="E165" s="1">
        <v>44696</v>
      </c>
      <c r="F165" t="s">
        <v>24</v>
      </c>
      <c r="G165" t="s">
        <v>25</v>
      </c>
      <c r="H165" t="s">
        <v>10</v>
      </c>
      <c r="I165">
        <v>0.5</v>
      </c>
      <c r="J165">
        <v>6000</v>
      </c>
      <c r="K165">
        <v>30</v>
      </c>
      <c r="L165">
        <v>3000</v>
      </c>
      <c r="M165" t="s">
        <v>29</v>
      </c>
    </row>
    <row r="166" spans="1:13" ht="14" x14ac:dyDescent="0.15">
      <c r="A166" t="s">
        <v>16</v>
      </c>
      <c r="B166" t="s">
        <v>41</v>
      </c>
      <c r="C166">
        <v>1189833</v>
      </c>
      <c r="D166" s="1">
        <v>44666</v>
      </c>
      <c r="E166" s="1">
        <v>44696</v>
      </c>
      <c r="F166" t="s">
        <v>24</v>
      </c>
      <c r="G166" t="s">
        <v>25</v>
      </c>
      <c r="H166" t="s">
        <v>11</v>
      </c>
      <c r="I166">
        <v>0.5</v>
      </c>
      <c r="J166">
        <v>6250</v>
      </c>
      <c r="K166">
        <v>30</v>
      </c>
      <c r="L166">
        <v>3125</v>
      </c>
      <c r="M166" t="s">
        <v>29</v>
      </c>
    </row>
    <row r="167" spans="1:13" ht="14" x14ac:dyDescent="0.15">
      <c r="A167" t="s">
        <v>16</v>
      </c>
      <c r="B167" t="s">
        <v>41</v>
      </c>
      <c r="C167">
        <v>1189833</v>
      </c>
      <c r="D167" s="1">
        <v>44666</v>
      </c>
      <c r="E167" s="1">
        <v>44696</v>
      </c>
      <c r="F167" t="s">
        <v>24</v>
      </c>
      <c r="G167" t="s">
        <v>25</v>
      </c>
      <c r="H167" t="s">
        <v>12</v>
      </c>
      <c r="I167">
        <v>0.45</v>
      </c>
      <c r="J167">
        <v>5250</v>
      </c>
      <c r="K167">
        <v>30</v>
      </c>
      <c r="L167">
        <v>2362.5</v>
      </c>
      <c r="M167" t="s">
        <v>29</v>
      </c>
    </row>
    <row r="168" spans="1:13" ht="14" x14ac:dyDescent="0.15">
      <c r="A168" t="s">
        <v>16</v>
      </c>
      <c r="B168" t="s">
        <v>41</v>
      </c>
      <c r="C168">
        <v>1189833</v>
      </c>
      <c r="D168" s="1">
        <v>44666</v>
      </c>
      <c r="E168" s="1">
        <v>44696</v>
      </c>
      <c r="F168" t="s">
        <v>24</v>
      </c>
      <c r="G168" t="s">
        <v>25</v>
      </c>
      <c r="H168" t="s">
        <v>13</v>
      </c>
      <c r="I168">
        <v>0.5</v>
      </c>
      <c r="J168">
        <v>4250</v>
      </c>
      <c r="K168">
        <v>30</v>
      </c>
      <c r="L168">
        <v>2125</v>
      </c>
      <c r="M168" t="s">
        <v>29</v>
      </c>
    </row>
    <row r="169" spans="1:13" ht="14" x14ac:dyDescent="0.15">
      <c r="A169" t="s">
        <v>16</v>
      </c>
      <c r="B169" t="s">
        <v>41</v>
      </c>
      <c r="C169">
        <v>1189833</v>
      </c>
      <c r="D169" s="1">
        <v>44666</v>
      </c>
      <c r="E169" s="1">
        <v>44696</v>
      </c>
      <c r="F169" t="s">
        <v>24</v>
      </c>
      <c r="G169" t="s">
        <v>25</v>
      </c>
      <c r="H169" t="s">
        <v>14</v>
      </c>
      <c r="I169">
        <v>0.65</v>
      </c>
      <c r="J169">
        <v>6000</v>
      </c>
      <c r="K169">
        <v>30</v>
      </c>
      <c r="L169">
        <v>3900</v>
      </c>
      <c r="M169" t="s">
        <v>29</v>
      </c>
    </row>
    <row r="170" spans="1:13" ht="14" x14ac:dyDescent="0.15">
      <c r="A170" t="s">
        <v>16</v>
      </c>
      <c r="B170" t="s">
        <v>41</v>
      </c>
      <c r="C170">
        <v>1189833</v>
      </c>
      <c r="D170" s="1">
        <v>44697</v>
      </c>
      <c r="E170" s="1">
        <v>44727</v>
      </c>
      <c r="F170" t="s">
        <v>24</v>
      </c>
      <c r="G170" t="s">
        <v>25</v>
      </c>
      <c r="H170" t="s">
        <v>9</v>
      </c>
      <c r="I170">
        <v>0.45</v>
      </c>
      <c r="J170">
        <v>8000</v>
      </c>
      <c r="K170">
        <v>30</v>
      </c>
      <c r="L170">
        <v>3600</v>
      </c>
      <c r="M170" t="s">
        <v>30</v>
      </c>
    </row>
    <row r="171" spans="1:13" ht="14" x14ac:dyDescent="0.15">
      <c r="A171" t="s">
        <v>16</v>
      </c>
      <c r="B171" t="s">
        <v>41</v>
      </c>
      <c r="C171">
        <v>1189833</v>
      </c>
      <c r="D171" s="1">
        <v>44697</v>
      </c>
      <c r="E171" s="1">
        <v>44727</v>
      </c>
      <c r="F171" t="s">
        <v>24</v>
      </c>
      <c r="G171" t="s">
        <v>25</v>
      </c>
      <c r="H171" t="s">
        <v>10</v>
      </c>
      <c r="I171">
        <v>0.5</v>
      </c>
      <c r="J171">
        <v>6500</v>
      </c>
      <c r="K171">
        <v>30</v>
      </c>
      <c r="L171">
        <v>3250</v>
      </c>
      <c r="M171" t="s">
        <v>30</v>
      </c>
    </row>
    <row r="172" spans="1:13" ht="14" x14ac:dyDescent="0.15">
      <c r="A172" t="s">
        <v>16</v>
      </c>
      <c r="B172" t="s">
        <v>41</v>
      </c>
      <c r="C172">
        <v>1189833</v>
      </c>
      <c r="D172" s="1">
        <v>44697</v>
      </c>
      <c r="E172" s="1">
        <v>44727</v>
      </c>
      <c r="F172" t="s">
        <v>24</v>
      </c>
      <c r="G172" t="s">
        <v>25</v>
      </c>
      <c r="H172" t="s">
        <v>11</v>
      </c>
      <c r="I172">
        <v>0.5</v>
      </c>
      <c r="J172">
        <v>6500</v>
      </c>
      <c r="K172">
        <v>30</v>
      </c>
      <c r="L172">
        <v>3250</v>
      </c>
      <c r="M172" t="s">
        <v>30</v>
      </c>
    </row>
    <row r="173" spans="1:13" ht="14" x14ac:dyDescent="0.15">
      <c r="A173" t="s">
        <v>16</v>
      </c>
      <c r="B173" t="s">
        <v>41</v>
      </c>
      <c r="C173">
        <v>1189833</v>
      </c>
      <c r="D173" s="1">
        <v>44697</v>
      </c>
      <c r="E173" s="1">
        <v>44727</v>
      </c>
      <c r="F173" t="s">
        <v>24</v>
      </c>
      <c r="G173" t="s">
        <v>25</v>
      </c>
      <c r="H173" t="s">
        <v>12</v>
      </c>
      <c r="I173">
        <v>0.45</v>
      </c>
      <c r="J173">
        <v>5500</v>
      </c>
      <c r="K173">
        <v>30</v>
      </c>
      <c r="L173">
        <v>2475</v>
      </c>
      <c r="M173" t="s">
        <v>30</v>
      </c>
    </row>
    <row r="174" spans="1:13" ht="14" x14ac:dyDescent="0.15">
      <c r="A174" t="s">
        <v>16</v>
      </c>
      <c r="B174" t="s">
        <v>41</v>
      </c>
      <c r="C174">
        <v>1189833</v>
      </c>
      <c r="D174" s="1">
        <v>44697</v>
      </c>
      <c r="E174" s="1">
        <v>44727</v>
      </c>
      <c r="F174" t="s">
        <v>24</v>
      </c>
      <c r="G174" t="s">
        <v>25</v>
      </c>
      <c r="H174" t="s">
        <v>13</v>
      </c>
      <c r="I174">
        <v>0.5</v>
      </c>
      <c r="J174">
        <v>4500</v>
      </c>
      <c r="K174">
        <v>30</v>
      </c>
      <c r="L174">
        <v>2250</v>
      </c>
      <c r="M174" t="s">
        <v>30</v>
      </c>
    </row>
    <row r="175" spans="1:13" ht="14" x14ac:dyDescent="0.15">
      <c r="A175" t="s">
        <v>16</v>
      </c>
      <c r="B175" t="s">
        <v>41</v>
      </c>
      <c r="C175">
        <v>1189833</v>
      </c>
      <c r="D175" s="1">
        <v>44697</v>
      </c>
      <c r="E175" s="1">
        <v>44727</v>
      </c>
      <c r="F175" t="s">
        <v>24</v>
      </c>
      <c r="G175" t="s">
        <v>25</v>
      </c>
      <c r="H175" t="s">
        <v>14</v>
      </c>
      <c r="I175">
        <v>0.65</v>
      </c>
      <c r="J175">
        <v>6250</v>
      </c>
      <c r="K175">
        <v>30</v>
      </c>
      <c r="L175">
        <v>4062.5</v>
      </c>
      <c r="M175" t="s">
        <v>30</v>
      </c>
    </row>
    <row r="176" spans="1:13" ht="14" x14ac:dyDescent="0.15">
      <c r="A176" t="s">
        <v>16</v>
      </c>
      <c r="B176" t="s">
        <v>41</v>
      </c>
      <c r="C176">
        <v>1189833</v>
      </c>
      <c r="D176" s="1">
        <v>44727</v>
      </c>
      <c r="E176" s="1">
        <v>44757</v>
      </c>
      <c r="F176" t="s">
        <v>24</v>
      </c>
      <c r="G176" t="s">
        <v>25</v>
      </c>
      <c r="H176" t="s">
        <v>9</v>
      </c>
      <c r="I176">
        <v>0.45</v>
      </c>
      <c r="J176">
        <v>9000</v>
      </c>
      <c r="K176">
        <v>30</v>
      </c>
      <c r="L176">
        <v>4050</v>
      </c>
      <c r="M176" t="s">
        <v>31</v>
      </c>
    </row>
    <row r="177" spans="1:13" ht="14" x14ac:dyDescent="0.15">
      <c r="A177" t="s">
        <v>16</v>
      </c>
      <c r="B177" t="s">
        <v>41</v>
      </c>
      <c r="C177">
        <v>1189833</v>
      </c>
      <c r="D177" s="1">
        <v>44727</v>
      </c>
      <c r="E177" s="1">
        <v>44757</v>
      </c>
      <c r="F177" t="s">
        <v>24</v>
      </c>
      <c r="G177" t="s">
        <v>25</v>
      </c>
      <c r="H177" t="s">
        <v>10</v>
      </c>
      <c r="I177">
        <v>0.5</v>
      </c>
      <c r="J177">
        <v>7500</v>
      </c>
      <c r="K177">
        <v>30</v>
      </c>
      <c r="L177">
        <v>3750</v>
      </c>
      <c r="M177" t="s">
        <v>31</v>
      </c>
    </row>
    <row r="178" spans="1:13" ht="14" x14ac:dyDescent="0.15">
      <c r="A178" t="s">
        <v>16</v>
      </c>
      <c r="B178" t="s">
        <v>41</v>
      </c>
      <c r="C178">
        <v>1189833</v>
      </c>
      <c r="D178" s="1">
        <v>44727</v>
      </c>
      <c r="E178" s="1">
        <v>44757</v>
      </c>
      <c r="F178" t="s">
        <v>24</v>
      </c>
      <c r="G178" t="s">
        <v>25</v>
      </c>
      <c r="H178" t="s">
        <v>11</v>
      </c>
      <c r="I178">
        <v>0.5</v>
      </c>
      <c r="J178">
        <v>7500</v>
      </c>
      <c r="K178">
        <v>30</v>
      </c>
      <c r="L178">
        <v>3750</v>
      </c>
      <c r="M178" t="s">
        <v>31</v>
      </c>
    </row>
    <row r="179" spans="1:13" ht="14" x14ac:dyDescent="0.15">
      <c r="A179" t="s">
        <v>16</v>
      </c>
      <c r="B179" t="s">
        <v>41</v>
      </c>
      <c r="C179">
        <v>1189833</v>
      </c>
      <c r="D179" s="1">
        <v>44727</v>
      </c>
      <c r="E179" s="1">
        <v>44757</v>
      </c>
      <c r="F179" t="s">
        <v>24</v>
      </c>
      <c r="G179" t="s">
        <v>25</v>
      </c>
      <c r="H179" t="s">
        <v>12</v>
      </c>
      <c r="I179">
        <v>0.45</v>
      </c>
      <c r="J179">
        <v>6250</v>
      </c>
      <c r="K179">
        <v>30</v>
      </c>
      <c r="L179">
        <v>2812.5</v>
      </c>
      <c r="M179" t="s">
        <v>31</v>
      </c>
    </row>
    <row r="180" spans="1:13" ht="14" x14ac:dyDescent="0.15">
      <c r="A180" t="s">
        <v>16</v>
      </c>
      <c r="B180" t="s">
        <v>41</v>
      </c>
      <c r="C180">
        <v>1189833</v>
      </c>
      <c r="D180" s="1">
        <v>44727</v>
      </c>
      <c r="E180" s="1">
        <v>44757</v>
      </c>
      <c r="F180" t="s">
        <v>24</v>
      </c>
      <c r="G180" t="s">
        <v>25</v>
      </c>
      <c r="H180" t="s">
        <v>13</v>
      </c>
      <c r="I180">
        <v>0.5</v>
      </c>
      <c r="J180">
        <v>5000</v>
      </c>
      <c r="K180">
        <v>30</v>
      </c>
      <c r="L180">
        <v>2500</v>
      </c>
      <c r="M180" t="s">
        <v>31</v>
      </c>
    </row>
    <row r="181" spans="1:13" ht="14" x14ac:dyDescent="0.15">
      <c r="A181" t="s">
        <v>16</v>
      </c>
      <c r="B181" t="s">
        <v>41</v>
      </c>
      <c r="C181">
        <v>1189833</v>
      </c>
      <c r="D181" s="1">
        <v>44727</v>
      </c>
      <c r="E181" s="1">
        <v>44757</v>
      </c>
      <c r="F181" t="s">
        <v>24</v>
      </c>
      <c r="G181" t="s">
        <v>25</v>
      </c>
      <c r="H181" t="s">
        <v>14</v>
      </c>
      <c r="I181">
        <v>0.65</v>
      </c>
      <c r="J181">
        <v>8000</v>
      </c>
      <c r="K181">
        <v>30</v>
      </c>
      <c r="L181">
        <v>5200</v>
      </c>
      <c r="M181" t="s">
        <v>31</v>
      </c>
    </row>
    <row r="182" spans="1:13" ht="14" x14ac:dyDescent="0.15">
      <c r="A182" t="s">
        <v>16</v>
      </c>
      <c r="B182" t="s">
        <v>41</v>
      </c>
      <c r="C182">
        <v>1189833</v>
      </c>
      <c r="D182" s="1">
        <v>44756</v>
      </c>
      <c r="E182" s="1">
        <v>44786</v>
      </c>
      <c r="F182" t="s">
        <v>24</v>
      </c>
      <c r="G182" t="s">
        <v>25</v>
      </c>
      <c r="H182" t="s">
        <v>9</v>
      </c>
      <c r="I182">
        <v>0.45</v>
      </c>
      <c r="J182">
        <v>9500</v>
      </c>
      <c r="K182">
        <v>30</v>
      </c>
      <c r="L182">
        <v>4275</v>
      </c>
      <c r="M182" t="s">
        <v>32</v>
      </c>
    </row>
    <row r="183" spans="1:13" ht="14" x14ac:dyDescent="0.15">
      <c r="A183" t="s">
        <v>16</v>
      </c>
      <c r="B183" t="s">
        <v>41</v>
      </c>
      <c r="C183">
        <v>1189833</v>
      </c>
      <c r="D183" s="1">
        <v>44756</v>
      </c>
      <c r="E183" s="1">
        <v>44786</v>
      </c>
      <c r="F183" t="s">
        <v>24</v>
      </c>
      <c r="G183" t="s">
        <v>25</v>
      </c>
      <c r="H183" t="s">
        <v>10</v>
      </c>
      <c r="I183">
        <v>0.5</v>
      </c>
      <c r="J183">
        <v>8000</v>
      </c>
      <c r="K183">
        <v>30</v>
      </c>
      <c r="L183">
        <v>4000</v>
      </c>
      <c r="M183" t="s">
        <v>32</v>
      </c>
    </row>
    <row r="184" spans="1:13" ht="14" x14ac:dyDescent="0.15">
      <c r="A184" t="s">
        <v>16</v>
      </c>
      <c r="B184" t="s">
        <v>41</v>
      </c>
      <c r="C184">
        <v>1189833</v>
      </c>
      <c r="D184" s="1">
        <v>44756</v>
      </c>
      <c r="E184" s="1">
        <v>44786</v>
      </c>
      <c r="F184" t="s">
        <v>24</v>
      </c>
      <c r="G184" t="s">
        <v>25</v>
      </c>
      <c r="H184" t="s">
        <v>11</v>
      </c>
      <c r="I184">
        <v>0.5</v>
      </c>
      <c r="J184">
        <v>7500</v>
      </c>
      <c r="K184">
        <v>30</v>
      </c>
      <c r="L184">
        <v>3750</v>
      </c>
      <c r="M184" t="s">
        <v>32</v>
      </c>
    </row>
    <row r="185" spans="1:13" ht="14" x14ac:dyDescent="0.15">
      <c r="A185" t="s">
        <v>16</v>
      </c>
      <c r="B185" t="s">
        <v>41</v>
      </c>
      <c r="C185">
        <v>1189833</v>
      </c>
      <c r="D185" s="1">
        <v>44756</v>
      </c>
      <c r="E185" s="1">
        <v>44786</v>
      </c>
      <c r="F185" t="s">
        <v>24</v>
      </c>
      <c r="G185" t="s">
        <v>25</v>
      </c>
      <c r="H185" t="s">
        <v>12</v>
      </c>
      <c r="I185">
        <v>0.45</v>
      </c>
      <c r="J185">
        <v>6500</v>
      </c>
      <c r="K185">
        <v>30</v>
      </c>
      <c r="L185">
        <v>2925</v>
      </c>
      <c r="M185" t="s">
        <v>32</v>
      </c>
    </row>
    <row r="186" spans="1:13" ht="14" x14ac:dyDescent="0.15">
      <c r="A186" t="s">
        <v>16</v>
      </c>
      <c r="B186" t="s">
        <v>41</v>
      </c>
      <c r="C186">
        <v>1189833</v>
      </c>
      <c r="D186" s="1">
        <v>44756</v>
      </c>
      <c r="E186" s="1">
        <v>44786</v>
      </c>
      <c r="F186" t="s">
        <v>24</v>
      </c>
      <c r="G186" t="s">
        <v>25</v>
      </c>
      <c r="H186" t="s">
        <v>13</v>
      </c>
      <c r="I186">
        <v>0.5</v>
      </c>
      <c r="J186">
        <v>7000</v>
      </c>
      <c r="K186">
        <v>30</v>
      </c>
      <c r="L186">
        <v>3500</v>
      </c>
      <c r="M186" t="s">
        <v>32</v>
      </c>
    </row>
    <row r="187" spans="1:13" ht="14" x14ac:dyDescent="0.15">
      <c r="A187" t="s">
        <v>16</v>
      </c>
      <c r="B187" t="s">
        <v>41</v>
      </c>
      <c r="C187">
        <v>1189833</v>
      </c>
      <c r="D187" s="1">
        <v>44756</v>
      </c>
      <c r="E187" s="1">
        <v>44786</v>
      </c>
      <c r="F187" t="s">
        <v>24</v>
      </c>
      <c r="G187" t="s">
        <v>25</v>
      </c>
      <c r="H187" t="s">
        <v>14</v>
      </c>
      <c r="I187">
        <v>0.65</v>
      </c>
      <c r="J187">
        <v>7000</v>
      </c>
      <c r="K187">
        <v>30</v>
      </c>
      <c r="L187">
        <v>4550</v>
      </c>
      <c r="M187" t="s">
        <v>32</v>
      </c>
    </row>
    <row r="188" spans="1:13" ht="14" x14ac:dyDescent="0.15">
      <c r="A188" t="s">
        <v>16</v>
      </c>
      <c r="B188" t="s">
        <v>41</v>
      </c>
      <c r="C188">
        <v>1189833</v>
      </c>
      <c r="D188" s="1">
        <v>44788</v>
      </c>
      <c r="E188" s="1">
        <v>44818</v>
      </c>
      <c r="F188" t="s">
        <v>24</v>
      </c>
      <c r="G188" t="s">
        <v>25</v>
      </c>
      <c r="H188" t="s">
        <v>9</v>
      </c>
      <c r="I188">
        <v>0.5</v>
      </c>
      <c r="J188">
        <v>9000</v>
      </c>
      <c r="K188">
        <v>30</v>
      </c>
      <c r="L188">
        <v>4500</v>
      </c>
      <c r="M188" t="s">
        <v>33</v>
      </c>
    </row>
    <row r="189" spans="1:13" ht="14" x14ac:dyDescent="0.15">
      <c r="A189" t="s">
        <v>16</v>
      </c>
      <c r="B189" t="s">
        <v>41</v>
      </c>
      <c r="C189">
        <v>1189833</v>
      </c>
      <c r="D189" s="1">
        <v>44788</v>
      </c>
      <c r="E189" s="1">
        <v>44818</v>
      </c>
      <c r="F189" t="s">
        <v>24</v>
      </c>
      <c r="G189" t="s">
        <v>25</v>
      </c>
      <c r="H189" t="s">
        <v>10</v>
      </c>
      <c r="I189">
        <v>0.55000000000000004</v>
      </c>
      <c r="J189">
        <v>8500</v>
      </c>
      <c r="K189">
        <v>30</v>
      </c>
      <c r="L189">
        <v>4675</v>
      </c>
      <c r="M189" t="s">
        <v>33</v>
      </c>
    </row>
    <row r="190" spans="1:13" ht="14" x14ac:dyDescent="0.15">
      <c r="A190" t="s">
        <v>16</v>
      </c>
      <c r="B190" t="s">
        <v>41</v>
      </c>
      <c r="C190">
        <v>1189833</v>
      </c>
      <c r="D190" s="1">
        <v>44788</v>
      </c>
      <c r="E190" s="1">
        <v>44818</v>
      </c>
      <c r="F190" t="s">
        <v>24</v>
      </c>
      <c r="G190" t="s">
        <v>25</v>
      </c>
      <c r="H190" t="s">
        <v>11</v>
      </c>
      <c r="I190">
        <v>0.5</v>
      </c>
      <c r="J190">
        <v>7250</v>
      </c>
      <c r="K190">
        <v>30</v>
      </c>
      <c r="L190">
        <v>3625</v>
      </c>
      <c r="M190" t="s">
        <v>33</v>
      </c>
    </row>
    <row r="191" spans="1:13" ht="14" x14ac:dyDescent="0.15">
      <c r="A191" t="s">
        <v>16</v>
      </c>
      <c r="B191" t="s">
        <v>41</v>
      </c>
      <c r="C191">
        <v>1189833</v>
      </c>
      <c r="D191" s="1">
        <v>44788</v>
      </c>
      <c r="E191" s="1">
        <v>44818</v>
      </c>
      <c r="F191" t="s">
        <v>24</v>
      </c>
      <c r="G191" t="s">
        <v>25</v>
      </c>
      <c r="H191" t="s">
        <v>12</v>
      </c>
      <c r="I191">
        <v>0.5</v>
      </c>
      <c r="J191">
        <v>6750</v>
      </c>
      <c r="K191">
        <v>30</v>
      </c>
      <c r="L191">
        <v>3375</v>
      </c>
      <c r="M191" t="s">
        <v>33</v>
      </c>
    </row>
    <row r="192" spans="1:13" ht="14" x14ac:dyDescent="0.15">
      <c r="A192" t="s">
        <v>16</v>
      </c>
      <c r="B192" t="s">
        <v>41</v>
      </c>
      <c r="C192">
        <v>1189833</v>
      </c>
      <c r="D192" s="1">
        <v>44788</v>
      </c>
      <c r="E192" s="1">
        <v>44818</v>
      </c>
      <c r="F192" t="s">
        <v>24</v>
      </c>
      <c r="G192" t="s">
        <v>25</v>
      </c>
      <c r="H192" t="s">
        <v>13</v>
      </c>
      <c r="I192">
        <v>0.6</v>
      </c>
      <c r="J192">
        <v>6750</v>
      </c>
      <c r="K192">
        <v>30</v>
      </c>
      <c r="L192">
        <v>4050</v>
      </c>
      <c r="M192" t="s">
        <v>33</v>
      </c>
    </row>
    <row r="193" spans="1:13" ht="14" x14ac:dyDescent="0.15">
      <c r="A193" t="s">
        <v>16</v>
      </c>
      <c r="B193" t="s">
        <v>41</v>
      </c>
      <c r="C193">
        <v>1189833</v>
      </c>
      <c r="D193" s="1">
        <v>44788</v>
      </c>
      <c r="E193" s="1">
        <v>44818</v>
      </c>
      <c r="F193" t="s">
        <v>24</v>
      </c>
      <c r="G193" t="s">
        <v>25</v>
      </c>
      <c r="H193" t="s">
        <v>14</v>
      </c>
      <c r="I193">
        <v>0.65</v>
      </c>
      <c r="J193">
        <v>6500</v>
      </c>
      <c r="K193">
        <v>30</v>
      </c>
      <c r="L193">
        <v>4225</v>
      </c>
      <c r="M193" t="s">
        <v>33</v>
      </c>
    </row>
    <row r="194" spans="1:13" ht="14" x14ac:dyDescent="0.15">
      <c r="A194" t="s">
        <v>16</v>
      </c>
      <c r="B194" t="s">
        <v>41</v>
      </c>
      <c r="C194">
        <v>1189833</v>
      </c>
      <c r="D194" s="1">
        <v>44820</v>
      </c>
      <c r="E194" s="1">
        <v>44850</v>
      </c>
      <c r="F194" t="s">
        <v>24</v>
      </c>
      <c r="G194" t="s">
        <v>25</v>
      </c>
      <c r="H194" t="s">
        <v>9</v>
      </c>
      <c r="I194">
        <v>0.5</v>
      </c>
      <c r="J194">
        <v>8500</v>
      </c>
      <c r="K194">
        <v>30</v>
      </c>
      <c r="L194">
        <v>4250</v>
      </c>
      <c r="M194" t="s">
        <v>34</v>
      </c>
    </row>
    <row r="195" spans="1:13" ht="14" x14ac:dyDescent="0.15">
      <c r="A195" t="s">
        <v>16</v>
      </c>
      <c r="B195" t="s">
        <v>41</v>
      </c>
      <c r="C195">
        <v>1189833</v>
      </c>
      <c r="D195" s="1">
        <v>44820</v>
      </c>
      <c r="E195" s="1">
        <v>44850</v>
      </c>
      <c r="F195" t="s">
        <v>24</v>
      </c>
      <c r="G195" t="s">
        <v>25</v>
      </c>
      <c r="H195" t="s">
        <v>10</v>
      </c>
      <c r="I195">
        <v>0.55000000000000004</v>
      </c>
      <c r="J195">
        <v>8500</v>
      </c>
      <c r="K195">
        <v>30</v>
      </c>
      <c r="L195">
        <v>4675</v>
      </c>
      <c r="M195" t="s">
        <v>34</v>
      </c>
    </row>
    <row r="196" spans="1:13" ht="14" x14ac:dyDescent="0.15">
      <c r="A196" t="s">
        <v>16</v>
      </c>
      <c r="B196" t="s">
        <v>41</v>
      </c>
      <c r="C196">
        <v>1189833</v>
      </c>
      <c r="D196" s="1">
        <v>44820</v>
      </c>
      <c r="E196" s="1">
        <v>44850</v>
      </c>
      <c r="F196" t="s">
        <v>24</v>
      </c>
      <c r="G196" t="s">
        <v>25</v>
      </c>
      <c r="H196" t="s">
        <v>11</v>
      </c>
      <c r="I196">
        <v>0.5</v>
      </c>
      <c r="J196">
        <v>7000</v>
      </c>
      <c r="K196">
        <v>30</v>
      </c>
      <c r="L196">
        <v>3500</v>
      </c>
      <c r="M196" t="s">
        <v>34</v>
      </c>
    </row>
    <row r="197" spans="1:13" ht="14" x14ac:dyDescent="0.15">
      <c r="A197" t="s">
        <v>16</v>
      </c>
      <c r="B197" t="s">
        <v>41</v>
      </c>
      <c r="C197">
        <v>1189833</v>
      </c>
      <c r="D197" s="1">
        <v>44820</v>
      </c>
      <c r="E197" s="1">
        <v>44850</v>
      </c>
      <c r="F197" t="s">
        <v>24</v>
      </c>
      <c r="G197" t="s">
        <v>25</v>
      </c>
      <c r="H197" t="s">
        <v>12</v>
      </c>
      <c r="I197">
        <v>0.5</v>
      </c>
      <c r="J197">
        <v>6500</v>
      </c>
      <c r="K197">
        <v>30</v>
      </c>
      <c r="L197">
        <v>3250</v>
      </c>
      <c r="M197" t="s">
        <v>34</v>
      </c>
    </row>
    <row r="198" spans="1:13" ht="14" x14ac:dyDescent="0.15">
      <c r="A198" t="s">
        <v>16</v>
      </c>
      <c r="B198" t="s">
        <v>41</v>
      </c>
      <c r="C198">
        <v>1189833</v>
      </c>
      <c r="D198" s="1">
        <v>44820</v>
      </c>
      <c r="E198" s="1">
        <v>44850</v>
      </c>
      <c r="F198" t="s">
        <v>24</v>
      </c>
      <c r="G198" t="s">
        <v>25</v>
      </c>
      <c r="H198" t="s">
        <v>13</v>
      </c>
      <c r="I198">
        <v>0.6</v>
      </c>
      <c r="J198">
        <v>6500</v>
      </c>
      <c r="K198">
        <v>30</v>
      </c>
      <c r="L198">
        <v>3900</v>
      </c>
      <c r="M198" t="s">
        <v>34</v>
      </c>
    </row>
    <row r="199" spans="1:13" ht="14" x14ac:dyDescent="0.15">
      <c r="A199" t="s">
        <v>16</v>
      </c>
      <c r="B199" t="s">
        <v>41</v>
      </c>
      <c r="C199">
        <v>1189833</v>
      </c>
      <c r="D199" s="1">
        <v>44820</v>
      </c>
      <c r="E199" s="1">
        <v>44850</v>
      </c>
      <c r="F199" t="s">
        <v>24</v>
      </c>
      <c r="G199" t="s">
        <v>25</v>
      </c>
      <c r="H199" t="s">
        <v>14</v>
      </c>
      <c r="I199">
        <v>0.65</v>
      </c>
      <c r="J199">
        <v>7000</v>
      </c>
      <c r="K199">
        <v>30</v>
      </c>
      <c r="L199">
        <v>4550</v>
      </c>
      <c r="M199" t="s">
        <v>34</v>
      </c>
    </row>
    <row r="200" spans="1:13" ht="14" x14ac:dyDescent="0.15">
      <c r="A200" t="s">
        <v>16</v>
      </c>
      <c r="B200" t="s">
        <v>41</v>
      </c>
      <c r="C200">
        <v>1189833</v>
      </c>
      <c r="D200" s="1">
        <v>44849</v>
      </c>
      <c r="E200" s="1">
        <v>44879</v>
      </c>
      <c r="F200" t="s">
        <v>24</v>
      </c>
      <c r="G200" t="s">
        <v>25</v>
      </c>
      <c r="H200" t="s">
        <v>9</v>
      </c>
      <c r="I200">
        <v>0.5</v>
      </c>
      <c r="J200">
        <v>8000</v>
      </c>
      <c r="K200">
        <v>30</v>
      </c>
      <c r="L200">
        <v>4000</v>
      </c>
      <c r="M200" t="s">
        <v>35</v>
      </c>
    </row>
    <row r="201" spans="1:13" ht="14" x14ac:dyDescent="0.15">
      <c r="A201" t="s">
        <v>16</v>
      </c>
      <c r="B201" t="s">
        <v>41</v>
      </c>
      <c r="C201">
        <v>1189833</v>
      </c>
      <c r="D201" s="1">
        <v>44849</v>
      </c>
      <c r="E201" s="1">
        <v>44879</v>
      </c>
      <c r="F201" t="s">
        <v>24</v>
      </c>
      <c r="G201" t="s">
        <v>25</v>
      </c>
      <c r="H201" t="s">
        <v>10</v>
      </c>
      <c r="I201">
        <v>0.55000000000000004</v>
      </c>
      <c r="J201">
        <v>8000</v>
      </c>
      <c r="K201">
        <v>30</v>
      </c>
      <c r="L201">
        <v>4400</v>
      </c>
      <c r="M201" t="s">
        <v>35</v>
      </c>
    </row>
    <row r="202" spans="1:13" ht="14" x14ac:dyDescent="0.15">
      <c r="A202" t="s">
        <v>16</v>
      </c>
      <c r="B202" t="s">
        <v>41</v>
      </c>
      <c r="C202">
        <v>1189833</v>
      </c>
      <c r="D202" s="1">
        <v>44849</v>
      </c>
      <c r="E202" s="1">
        <v>44879</v>
      </c>
      <c r="F202" t="s">
        <v>24</v>
      </c>
      <c r="G202" t="s">
        <v>25</v>
      </c>
      <c r="H202" t="s">
        <v>11</v>
      </c>
      <c r="I202">
        <v>0.5</v>
      </c>
      <c r="J202">
        <v>6500</v>
      </c>
      <c r="K202">
        <v>30</v>
      </c>
      <c r="L202">
        <v>3250</v>
      </c>
      <c r="M202" t="s">
        <v>35</v>
      </c>
    </row>
    <row r="203" spans="1:13" ht="14" x14ac:dyDescent="0.15">
      <c r="A203" t="s">
        <v>16</v>
      </c>
      <c r="B203" t="s">
        <v>41</v>
      </c>
      <c r="C203">
        <v>1189833</v>
      </c>
      <c r="D203" s="1">
        <v>44849</v>
      </c>
      <c r="E203" s="1">
        <v>44879</v>
      </c>
      <c r="F203" t="s">
        <v>24</v>
      </c>
      <c r="G203" t="s">
        <v>25</v>
      </c>
      <c r="H203" t="s">
        <v>12</v>
      </c>
      <c r="I203">
        <v>0.5</v>
      </c>
      <c r="J203">
        <v>6250</v>
      </c>
      <c r="K203">
        <v>30</v>
      </c>
      <c r="L203">
        <v>3125</v>
      </c>
      <c r="M203" t="s">
        <v>35</v>
      </c>
    </row>
    <row r="204" spans="1:13" ht="14" x14ac:dyDescent="0.15">
      <c r="A204" t="s">
        <v>16</v>
      </c>
      <c r="B204" t="s">
        <v>41</v>
      </c>
      <c r="C204">
        <v>1189833</v>
      </c>
      <c r="D204" s="1">
        <v>44849</v>
      </c>
      <c r="E204" s="1">
        <v>44879</v>
      </c>
      <c r="F204" t="s">
        <v>24</v>
      </c>
      <c r="G204" t="s">
        <v>25</v>
      </c>
      <c r="H204" t="s">
        <v>13</v>
      </c>
      <c r="I204">
        <v>0.6</v>
      </c>
      <c r="J204">
        <v>6000</v>
      </c>
      <c r="K204">
        <v>30</v>
      </c>
      <c r="L204">
        <v>3600</v>
      </c>
      <c r="M204" t="s">
        <v>35</v>
      </c>
    </row>
    <row r="205" spans="1:13" ht="14" x14ac:dyDescent="0.15">
      <c r="A205" t="s">
        <v>16</v>
      </c>
      <c r="B205" t="s">
        <v>41</v>
      </c>
      <c r="C205">
        <v>1189833</v>
      </c>
      <c r="D205" s="1">
        <v>44849</v>
      </c>
      <c r="E205" s="1">
        <v>44879</v>
      </c>
      <c r="F205" t="s">
        <v>24</v>
      </c>
      <c r="G205" t="s">
        <v>25</v>
      </c>
      <c r="H205" t="s">
        <v>14</v>
      </c>
      <c r="I205">
        <v>0.65</v>
      </c>
      <c r="J205">
        <v>6500</v>
      </c>
      <c r="K205">
        <v>30</v>
      </c>
      <c r="L205">
        <v>4225</v>
      </c>
      <c r="M205" t="s">
        <v>35</v>
      </c>
    </row>
    <row r="206" spans="1:13" ht="14" x14ac:dyDescent="0.15">
      <c r="A206" t="s">
        <v>16</v>
      </c>
      <c r="B206" t="s">
        <v>41</v>
      </c>
      <c r="C206">
        <v>1189833</v>
      </c>
      <c r="D206" s="1">
        <v>44880</v>
      </c>
      <c r="E206" s="1">
        <v>44910</v>
      </c>
      <c r="F206" t="s">
        <v>24</v>
      </c>
      <c r="G206" t="s">
        <v>25</v>
      </c>
      <c r="H206" t="s">
        <v>9</v>
      </c>
      <c r="I206">
        <v>0.5</v>
      </c>
      <c r="J206">
        <v>8250</v>
      </c>
      <c r="K206">
        <v>30</v>
      </c>
      <c r="L206">
        <v>4125</v>
      </c>
      <c r="M206" t="s">
        <v>36</v>
      </c>
    </row>
    <row r="207" spans="1:13" ht="14" x14ac:dyDescent="0.15">
      <c r="A207" t="s">
        <v>16</v>
      </c>
      <c r="B207" t="s">
        <v>41</v>
      </c>
      <c r="C207">
        <v>1189833</v>
      </c>
      <c r="D207" s="1">
        <v>44880</v>
      </c>
      <c r="E207" s="1">
        <v>44910</v>
      </c>
      <c r="F207" t="s">
        <v>24</v>
      </c>
      <c r="G207" t="s">
        <v>25</v>
      </c>
      <c r="H207" t="s">
        <v>10</v>
      </c>
      <c r="I207">
        <v>0.55000000000000004</v>
      </c>
      <c r="J207">
        <v>8250</v>
      </c>
      <c r="K207">
        <v>30</v>
      </c>
      <c r="L207">
        <v>4537.5</v>
      </c>
      <c r="M207" t="s">
        <v>36</v>
      </c>
    </row>
    <row r="208" spans="1:13" ht="14" x14ac:dyDescent="0.15">
      <c r="A208" t="s">
        <v>16</v>
      </c>
      <c r="B208" t="s">
        <v>41</v>
      </c>
      <c r="C208">
        <v>1189833</v>
      </c>
      <c r="D208" s="1">
        <v>44880</v>
      </c>
      <c r="E208" s="1">
        <v>44910</v>
      </c>
      <c r="F208" t="s">
        <v>24</v>
      </c>
      <c r="G208" t="s">
        <v>25</v>
      </c>
      <c r="H208" t="s">
        <v>11</v>
      </c>
      <c r="I208">
        <v>0.5</v>
      </c>
      <c r="J208">
        <v>6750</v>
      </c>
      <c r="K208">
        <v>30</v>
      </c>
      <c r="L208">
        <v>3375</v>
      </c>
      <c r="M208" t="s">
        <v>36</v>
      </c>
    </row>
    <row r="209" spans="1:13" ht="14" x14ac:dyDescent="0.15">
      <c r="A209" t="s">
        <v>16</v>
      </c>
      <c r="B209" t="s">
        <v>41</v>
      </c>
      <c r="C209">
        <v>1189833</v>
      </c>
      <c r="D209" s="1">
        <v>44880</v>
      </c>
      <c r="E209" s="1">
        <v>44910</v>
      </c>
      <c r="F209" t="s">
        <v>24</v>
      </c>
      <c r="G209" t="s">
        <v>25</v>
      </c>
      <c r="H209" t="s">
        <v>12</v>
      </c>
      <c r="I209">
        <v>0.5</v>
      </c>
      <c r="J209">
        <v>6500</v>
      </c>
      <c r="K209">
        <v>30</v>
      </c>
      <c r="L209">
        <v>3250</v>
      </c>
      <c r="M209" t="s">
        <v>36</v>
      </c>
    </row>
    <row r="210" spans="1:13" ht="14" x14ac:dyDescent="0.15">
      <c r="A210" t="s">
        <v>16</v>
      </c>
      <c r="B210" t="s">
        <v>41</v>
      </c>
      <c r="C210">
        <v>1189833</v>
      </c>
      <c r="D210" s="1">
        <v>44880</v>
      </c>
      <c r="E210" s="1">
        <v>44910</v>
      </c>
      <c r="F210" t="s">
        <v>24</v>
      </c>
      <c r="G210" t="s">
        <v>25</v>
      </c>
      <c r="H210" t="s">
        <v>13</v>
      </c>
      <c r="I210">
        <v>0.6</v>
      </c>
      <c r="J210">
        <v>6000</v>
      </c>
      <c r="K210">
        <v>30</v>
      </c>
      <c r="L210">
        <v>3600</v>
      </c>
      <c r="M210" t="s">
        <v>36</v>
      </c>
    </row>
    <row r="211" spans="1:13" ht="14" x14ac:dyDescent="0.15">
      <c r="A211" t="s">
        <v>16</v>
      </c>
      <c r="B211" t="s">
        <v>41</v>
      </c>
      <c r="C211">
        <v>1189833</v>
      </c>
      <c r="D211" s="1">
        <v>44880</v>
      </c>
      <c r="E211" s="1">
        <v>44910</v>
      </c>
      <c r="F211" t="s">
        <v>24</v>
      </c>
      <c r="G211" t="s">
        <v>25</v>
      </c>
      <c r="H211" t="s">
        <v>14</v>
      </c>
      <c r="I211">
        <v>0.65</v>
      </c>
      <c r="J211">
        <v>7000</v>
      </c>
      <c r="K211">
        <v>30</v>
      </c>
      <c r="L211">
        <v>4550</v>
      </c>
      <c r="M211" t="s">
        <v>36</v>
      </c>
    </row>
    <row r="212" spans="1:13" ht="14" x14ac:dyDescent="0.15">
      <c r="A212" t="s">
        <v>16</v>
      </c>
      <c r="B212" t="s">
        <v>41</v>
      </c>
      <c r="C212">
        <v>1189833</v>
      </c>
      <c r="D212" s="1">
        <v>44909</v>
      </c>
      <c r="E212" s="1">
        <v>44939</v>
      </c>
      <c r="F212" t="s">
        <v>24</v>
      </c>
      <c r="G212" t="s">
        <v>25</v>
      </c>
      <c r="H212" t="s">
        <v>9</v>
      </c>
      <c r="I212">
        <v>0.5</v>
      </c>
      <c r="J212">
        <v>9000</v>
      </c>
      <c r="K212">
        <v>30</v>
      </c>
      <c r="L212">
        <v>4500</v>
      </c>
      <c r="M212" t="s">
        <v>37</v>
      </c>
    </row>
    <row r="213" spans="1:13" ht="14" x14ac:dyDescent="0.15">
      <c r="A213" t="s">
        <v>16</v>
      </c>
      <c r="B213" t="s">
        <v>41</v>
      </c>
      <c r="C213">
        <v>1189833</v>
      </c>
      <c r="D213" s="1">
        <v>44909</v>
      </c>
      <c r="E213" s="1">
        <v>44939</v>
      </c>
      <c r="F213" t="s">
        <v>24</v>
      </c>
      <c r="G213" t="s">
        <v>25</v>
      </c>
      <c r="H213" t="s">
        <v>10</v>
      </c>
      <c r="I213">
        <v>0.55000000000000004</v>
      </c>
      <c r="J213">
        <v>9000</v>
      </c>
      <c r="K213">
        <v>30</v>
      </c>
      <c r="L213">
        <v>4950</v>
      </c>
      <c r="M213" t="s">
        <v>37</v>
      </c>
    </row>
    <row r="214" spans="1:13" ht="14" x14ac:dyDescent="0.15">
      <c r="A214" t="s">
        <v>16</v>
      </c>
      <c r="B214" t="s">
        <v>41</v>
      </c>
      <c r="C214">
        <v>1189833</v>
      </c>
      <c r="D214" s="1">
        <v>44909</v>
      </c>
      <c r="E214" s="1">
        <v>44939</v>
      </c>
      <c r="F214" t="s">
        <v>24</v>
      </c>
      <c r="G214" t="s">
        <v>25</v>
      </c>
      <c r="H214" t="s">
        <v>11</v>
      </c>
      <c r="I214">
        <v>0.5</v>
      </c>
      <c r="J214">
        <v>7000</v>
      </c>
      <c r="K214">
        <v>30</v>
      </c>
      <c r="L214">
        <v>3500</v>
      </c>
      <c r="M214" t="s">
        <v>37</v>
      </c>
    </row>
    <row r="215" spans="1:13" ht="14" x14ac:dyDescent="0.15">
      <c r="A215" t="s">
        <v>16</v>
      </c>
      <c r="B215" t="s">
        <v>41</v>
      </c>
      <c r="C215">
        <v>1189833</v>
      </c>
      <c r="D215" s="1">
        <v>44909</v>
      </c>
      <c r="E215" s="1">
        <v>44939</v>
      </c>
      <c r="F215" t="s">
        <v>24</v>
      </c>
      <c r="G215" t="s">
        <v>25</v>
      </c>
      <c r="H215" t="s">
        <v>12</v>
      </c>
      <c r="I215">
        <v>0.5</v>
      </c>
      <c r="J215">
        <v>7000</v>
      </c>
      <c r="K215">
        <v>30</v>
      </c>
      <c r="L215">
        <v>3500</v>
      </c>
      <c r="M215" t="s">
        <v>37</v>
      </c>
    </row>
    <row r="216" spans="1:13" ht="14" x14ac:dyDescent="0.15">
      <c r="A216" t="s">
        <v>16</v>
      </c>
      <c r="B216" t="s">
        <v>41</v>
      </c>
      <c r="C216">
        <v>1189833</v>
      </c>
      <c r="D216" s="1">
        <v>44909</v>
      </c>
      <c r="E216" s="1">
        <v>44939</v>
      </c>
      <c r="F216" t="s">
        <v>24</v>
      </c>
      <c r="G216" t="s">
        <v>25</v>
      </c>
      <c r="H216" t="s">
        <v>13</v>
      </c>
      <c r="I216">
        <v>0.6</v>
      </c>
      <c r="J216">
        <v>6250</v>
      </c>
      <c r="K216">
        <v>30</v>
      </c>
      <c r="L216">
        <v>3750</v>
      </c>
      <c r="M216" t="s">
        <v>37</v>
      </c>
    </row>
    <row r="217" spans="1:13" ht="14" x14ac:dyDescent="0.15">
      <c r="A217" t="s">
        <v>16</v>
      </c>
      <c r="B217" t="s">
        <v>41</v>
      </c>
      <c r="C217">
        <v>1189833</v>
      </c>
      <c r="D217" s="1">
        <v>44909</v>
      </c>
      <c r="E217" s="1">
        <v>44939</v>
      </c>
      <c r="F217" t="s">
        <v>24</v>
      </c>
      <c r="G217" t="s">
        <v>25</v>
      </c>
      <c r="H217" t="s">
        <v>14</v>
      </c>
      <c r="I217">
        <v>0.65</v>
      </c>
      <c r="J217">
        <v>7250</v>
      </c>
      <c r="K217">
        <v>30</v>
      </c>
      <c r="L217">
        <v>4712.5</v>
      </c>
      <c r="M217" t="s">
        <v>37</v>
      </c>
    </row>
    <row r="218" spans="1:13" ht="14" x14ac:dyDescent="0.15">
      <c r="A218" t="s">
        <v>17</v>
      </c>
      <c r="B218" t="s">
        <v>42</v>
      </c>
      <c r="C218">
        <v>1185732</v>
      </c>
      <c r="D218" s="1">
        <v>44575</v>
      </c>
      <c r="E218" s="1">
        <v>44605</v>
      </c>
      <c r="F218" t="s">
        <v>43</v>
      </c>
      <c r="G218" t="s">
        <v>44</v>
      </c>
      <c r="H218" t="s">
        <v>9</v>
      </c>
      <c r="I218">
        <v>0.5</v>
      </c>
      <c r="J218">
        <v>12000</v>
      </c>
      <c r="K218">
        <v>30</v>
      </c>
      <c r="L218">
        <v>6000</v>
      </c>
      <c r="M218" t="s">
        <v>26</v>
      </c>
    </row>
    <row r="219" spans="1:13" ht="14" x14ac:dyDescent="0.15">
      <c r="A219" t="s">
        <v>17</v>
      </c>
      <c r="B219" t="s">
        <v>42</v>
      </c>
      <c r="C219">
        <v>1185732</v>
      </c>
      <c r="D219" s="1">
        <v>44575</v>
      </c>
      <c r="E219" s="1">
        <v>44605</v>
      </c>
      <c r="F219" t="s">
        <v>43</v>
      </c>
      <c r="G219" t="s">
        <v>44</v>
      </c>
      <c r="H219" t="s">
        <v>10</v>
      </c>
      <c r="I219">
        <v>0.5</v>
      </c>
      <c r="J219">
        <v>10000</v>
      </c>
      <c r="K219">
        <v>30</v>
      </c>
      <c r="L219">
        <v>5000</v>
      </c>
      <c r="M219" t="s">
        <v>26</v>
      </c>
    </row>
    <row r="220" spans="1:13" ht="14" x14ac:dyDescent="0.15">
      <c r="A220" t="s">
        <v>17</v>
      </c>
      <c r="B220" t="s">
        <v>42</v>
      </c>
      <c r="C220">
        <v>1185732</v>
      </c>
      <c r="D220" s="1">
        <v>44575</v>
      </c>
      <c r="E220" s="1">
        <v>44605</v>
      </c>
      <c r="F220" t="s">
        <v>43</v>
      </c>
      <c r="G220" t="s">
        <v>44</v>
      </c>
      <c r="H220" t="s">
        <v>11</v>
      </c>
      <c r="I220">
        <v>0.4</v>
      </c>
      <c r="J220">
        <v>10000</v>
      </c>
      <c r="K220">
        <v>30</v>
      </c>
      <c r="L220">
        <v>4000</v>
      </c>
      <c r="M220" t="s">
        <v>26</v>
      </c>
    </row>
    <row r="221" spans="1:13" ht="14" x14ac:dyDescent="0.15">
      <c r="A221" t="s">
        <v>17</v>
      </c>
      <c r="B221" t="s">
        <v>42</v>
      </c>
      <c r="C221">
        <v>1185732</v>
      </c>
      <c r="D221" s="1">
        <v>44575</v>
      </c>
      <c r="E221" s="1">
        <v>44605</v>
      </c>
      <c r="F221" t="s">
        <v>43</v>
      </c>
      <c r="G221" t="s">
        <v>44</v>
      </c>
      <c r="H221" t="s">
        <v>12</v>
      </c>
      <c r="I221">
        <v>0.45</v>
      </c>
      <c r="J221">
        <v>8500</v>
      </c>
      <c r="K221">
        <v>30</v>
      </c>
      <c r="L221">
        <v>3825</v>
      </c>
      <c r="M221" t="s">
        <v>26</v>
      </c>
    </row>
    <row r="222" spans="1:13" ht="14" x14ac:dyDescent="0.15">
      <c r="A222" t="s">
        <v>17</v>
      </c>
      <c r="B222" t="s">
        <v>42</v>
      </c>
      <c r="C222">
        <v>1185732</v>
      </c>
      <c r="D222" s="1">
        <v>44575</v>
      </c>
      <c r="E222" s="1">
        <v>44605</v>
      </c>
      <c r="F222" t="s">
        <v>43</v>
      </c>
      <c r="G222" t="s">
        <v>44</v>
      </c>
      <c r="H222" t="s">
        <v>13</v>
      </c>
      <c r="I222">
        <v>0.6</v>
      </c>
      <c r="J222">
        <v>9000</v>
      </c>
      <c r="K222">
        <v>30</v>
      </c>
      <c r="L222">
        <v>5400</v>
      </c>
      <c r="M222" t="s">
        <v>26</v>
      </c>
    </row>
    <row r="223" spans="1:13" ht="14" x14ac:dyDescent="0.15">
      <c r="A223" t="s">
        <v>17</v>
      </c>
      <c r="B223" t="s">
        <v>42</v>
      </c>
      <c r="C223">
        <v>1185732</v>
      </c>
      <c r="D223" s="1">
        <v>44575</v>
      </c>
      <c r="E223" s="1">
        <v>44620</v>
      </c>
      <c r="F223" t="s">
        <v>43</v>
      </c>
      <c r="G223" t="s">
        <v>44</v>
      </c>
      <c r="H223" t="s">
        <v>14</v>
      </c>
      <c r="I223">
        <v>0.5</v>
      </c>
      <c r="J223">
        <v>10000</v>
      </c>
      <c r="K223">
        <v>45</v>
      </c>
      <c r="L223">
        <v>5000</v>
      </c>
      <c r="M223" t="s">
        <v>26</v>
      </c>
    </row>
    <row r="224" spans="1:13" ht="14" x14ac:dyDescent="0.15">
      <c r="A224" t="s">
        <v>17</v>
      </c>
      <c r="B224" t="s">
        <v>42</v>
      </c>
      <c r="C224">
        <v>1185732</v>
      </c>
      <c r="D224" s="1">
        <v>44604</v>
      </c>
      <c r="E224" s="1">
        <v>44634</v>
      </c>
      <c r="F224" t="s">
        <v>43</v>
      </c>
      <c r="G224" t="s">
        <v>44</v>
      </c>
      <c r="H224" t="s">
        <v>9</v>
      </c>
      <c r="I224">
        <v>0.5</v>
      </c>
      <c r="J224">
        <v>12500</v>
      </c>
      <c r="K224">
        <v>30</v>
      </c>
      <c r="L224">
        <v>6250</v>
      </c>
      <c r="M224" t="s">
        <v>27</v>
      </c>
    </row>
    <row r="225" spans="1:13" ht="14" x14ac:dyDescent="0.15">
      <c r="A225" t="s">
        <v>17</v>
      </c>
      <c r="B225" t="s">
        <v>42</v>
      </c>
      <c r="C225">
        <v>1185732</v>
      </c>
      <c r="D225" s="1">
        <v>44604</v>
      </c>
      <c r="E225" s="1">
        <v>44634</v>
      </c>
      <c r="F225" t="s">
        <v>43</v>
      </c>
      <c r="G225" t="s">
        <v>44</v>
      </c>
      <c r="H225" t="s">
        <v>10</v>
      </c>
      <c r="I225">
        <v>0.5</v>
      </c>
      <c r="J225">
        <v>9000</v>
      </c>
      <c r="K225">
        <v>30</v>
      </c>
      <c r="L225">
        <v>4500</v>
      </c>
      <c r="M225" t="s">
        <v>27</v>
      </c>
    </row>
    <row r="226" spans="1:13" ht="14" x14ac:dyDescent="0.15">
      <c r="A226" t="s">
        <v>17</v>
      </c>
      <c r="B226" t="s">
        <v>42</v>
      </c>
      <c r="C226">
        <v>1185732</v>
      </c>
      <c r="D226" s="1">
        <v>44604</v>
      </c>
      <c r="E226" s="1">
        <v>44634</v>
      </c>
      <c r="F226" t="s">
        <v>43</v>
      </c>
      <c r="G226" t="s">
        <v>44</v>
      </c>
      <c r="H226" t="s">
        <v>11</v>
      </c>
      <c r="I226">
        <v>0.4</v>
      </c>
      <c r="J226">
        <v>9500</v>
      </c>
      <c r="K226">
        <v>30</v>
      </c>
      <c r="L226">
        <v>3800</v>
      </c>
      <c r="M226" t="s">
        <v>27</v>
      </c>
    </row>
    <row r="227" spans="1:13" ht="14" x14ac:dyDescent="0.15">
      <c r="A227" t="s">
        <v>17</v>
      </c>
      <c r="B227" t="s">
        <v>42</v>
      </c>
      <c r="C227">
        <v>1185732</v>
      </c>
      <c r="D227" s="1">
        <v>44604</v>
      </c>
      <c r="E227" s="1">
        <v>44634</v>
      </c>
      <c r="F227" t="s">
        <v>43</v>
      </c>
      <c r="G227" t="s">
        <v>44</v>
      </c>
      <c r="H227" t="s">
        <v>12</v>
      </c>
      <c r="I227">
        <v>0.45</v>
      </c>
      <c r="J227">
        <v>8250</v>
      </c>
      <c r="K227">
        <v>30</v>
      </c>
      <c r="L227">
        <v>3712.5</v>
      </c>
      <c r="M227" t="s">
        <v>27</v>
      </c>
    </row>
    <row r="228" spans="1:13" ht="14" x14ac:dyDescent="0.15">
      <c r="A228" t="s">
        <v>17</v>
      </c>
      <c r="B228" t="s">
        <v>42</v>
      </c>
      <c r="C228">
        <v>1185732</v>
      </c>
      <c r="D228" s="1">
        <v>44604</v>
      </c>
      <c r="E228" s="1">
        <v>44649</v>
      </c>
      <c r="F228" t="s">
        <v>43</v>
      </c>
      <c r="G228" t="s">
        <v>44</v>
      </c>
      <c r="H228" t="s">
        <v>13</v>
      </c>
      <c r="I228">
        <v>0.6</v>
      </c>
      <c r="J228">
        <v>9000</v>
      </c>
      <c r="K228">
        <v>45</v>
      </c>
      <c r="L228">
        <v>5400</v>
      </c>
      <c r="M228" t="s">
        <v>27</v>
      </c>
    </row>
    <row r="229" spans="1:13" ht="14" x14ac:dyDescent="0.15">
      <c r="A229" t="s">
        <v>17</v>
      </c>
      <c r="B229" t="s">
        <v>42</v>
      </c>
      <c r="C229">
        <v>1185732</v>
      </c>
      <c r="D229" s="1">
        <v>44604</v>
      </c>
      <c r="E229" s="1">
        <v>44634</v>
      </c>
      <c r="F229" t="s">
        <v>43</v>
      </c>
      <c r="G229" t="s">
        <v>44</v>
      </c>
      <c r="H229" t="s">
        <v>14</v>
      </c>
      <c r="I229">
        <v>0.5</v>
      </c>
      <c r="J229">
        <v>10000</v>
      </c>
      <c r="K229">
        <v>30</v>
      </c>
      <c r="L229">
        <v>5000</v>
      </c>
      <c r="M229" t="s">
        <v>27</v>
      </c>
    </row>
    <row r="230" spans="1:13" ht="14" x14ac:dyDescent="0.15">
      <c r="A230" t="s">
        <v>17</v>
      </c>
      <c r="B230" t="s">
        <v>42</v>
      </c>
      <c r="C230">
        <v>1185732</v>
      </c>
      <c r="D230" s="1">
        <v>44630</v>
      </c>
      <c r="E230" s="1">
        <v>44660</v>
      </c>
      <c r="F230" t="s">
        <v>43</v>
      </c>
      <c r="G230" t="s">
        <v>44</v>
      </c>
      <c r="H230" t="s">
        <v>9</v>
      </c>
      <c r="I230">
        <v>0.5</v>
      </c>
      <c r="J230">
        <v>12200</v>
      </c>
      <c r="K230">
        <v>30</v>
      </c>
      <c r="L230">
        <v>6100</v>
      </c>
      <c r="M230" t="s">
        <v>28</v>
      </c>
    </row>
    <row r="231" spans="1:13" ht="14" x14ac:dyDescent="0.15">
      <c r="A231" t="s">
        <v>17</v>
      </c>
      <c r="B231" t="s">
        <v>42</v>
      </c>
      <c r="C231">
        <v>1185732</v>
      </c>
      <c r="D231" s="1">
        <v>44630</v>
      </c>
      <c r="E231" s="1">
        <v>44660</v>
      </c>
      <c r="F231" t="s">
        <v>43</v>
      </c>
      <c r="G231" t="s">
        <v>44</v>
      </c>
      <c r="H231" t="s">
        <v>10</v>
      </c>
      <c r="I231">
        <v>0.5</v>
      </c>
      <c r="J231">
        <v>9250</v>
      </c>
      <c r="K231">
        <v>30</v>
      </c>
      <c r="L231">
        <v>4625</v>
      </c>
      <c r="M231" t="s">
        <v>28</v>
      </c>
    </row>
    <row r="232" spans="1:13" ht="14" x14ac:dyDescent="0.15">
      <c r="A232" t="s">
        <v>17</v>
      </c>
      <c r="B232" t="s">
        <v>42</v>
      </c>
      <c r="C232">
        <v>1185732</v>
      </c>
      <c r="D232" s="1">
        <v>44630</v>
      </c>
      <c r="E232" s="1">
        <v>44675</v>
      </c>
      <c r="F232" t="s">
        <v>43</v>
      </c>
      <c r="G232" t="s">
        <v>44</v>
      </c>
      <c r="H232" t="s">
        <v>11</v>
      </c>
      <c r="I232">
        <v>0.4</v>
      </c>
      <c r="J232">
        <v>9500</v>
      </c>
      <c r="K232">
        <v>45</v>
      </c>
      <c r="L232">
        <v>3800</v>
      </c>
      <c r="M232" t="s">
        <v>28</v>
      </c>
    </row>
    <row r="233" spans="1:13" ht="14" x14ac:dyDescent="0.15">
      <c r="A233" t="s">
        <v>17</v>
      </c>
      <c r="B233" t="s">
        <v>42</v>
      </c>
      <c r="C233">
        <v>1185732</v>
      </c>
      <c r="D233" s="1">
        <v>44630</v>
      </c>
      <c r="E233" s="1">
        <v>44660</v>
      </c>
      <c r="F233" t="s">
        <v>43</v>
      </c>
      <c r="G233" t="s">
        <v>44</v>
      </c>
      <c r="H233" t="s">
        <v>12</v>
      </c>
      <c r="I233">
        <v>0.45</v>
      </c>
      <c r="J233">
        <v>8000</v>
      </c>
      <c r="K233">
        <v>30</v>
      </c>
      <c r="L233">
        <v>3600</v>
      </c>
      <c r="M233" t="s">
        <v>28</v>
      </c>
    </row>
    <row r="234" spans="1:13" ht="14" x14ac:dyDescent="0.15">
      <c r="A234" t="s">
        <v>17</v>
      </c>
      <c r="B234" t="s">
        <v>42</v>
      </c>
      <c r="C234">
        <v>1185732</v>
      </c>
      <c r="D234" s="1">
        <v>44630</v>
      </c>
      <c r="E234" s="1">
        <v>44660</v>
      </c>
      <c r="F234" t="s">
        <v>43</v>
      </c>
      <c r="G234" t="s">
        <v>44</v>
      </c>
      <c r="H234" t="s">
        <v>13</v>
      </c>
      <c r="I234">
        <v>0.6</v>
      </c>
      <c r="J234">
        <v>8500</v>
      </c>
      <c r="K234">
        <v>30</v>
      </c>
      <c r="L234">
        <v>5100</v>
      </c>
      <c r="M234" t="s">
        <v>28</v>
      </c>
    </row>
    <row r="235" spans="1:13" ht="14" x14ac:dyDescent="0.15">
      <c r="A235" t="s">
        <v>17</v>
      </c>
      <c r="B235" t="s">
        <v>42</v>
      </c>
      <c r="C235">
        <v>1185732</v>
      </c>
      <c r="D235" s="1">
        <v>44630</v>
      </c>
      <c r="E235" s="1">
        <v>44660</v>
      </c>
      <c r="F235" t="s">
        <v>43</v>
      </c>
      <c r="G235" t="s">
        <v>44</v>
      </c>
      <c r="H235" t="s">
        <v>14</v>
      </c>
      <c r="I235">
        <v>0.5</v>
      </c>
      <c r="J235">
        <v>9500</v>
      </c>
      <c r="K235">
        <v>30</v>
      </c>
      <c r="L235">
        <v>4750</v>
      </c>
      <c r="M235" t="s">
        <v>28</v>
      </c>
    </row>
    <row r="236" spans="1:13" ht="14" x14ac:dyDescent="0.15">
      <c r="A236" t="s">
        <v>17</v>
      </c>
      <c r="B236" t="s">
        <v>42</v>
      </c>
      <c r="C236">
        <v>1185732</v>
      </c>
      <c r="D236" s="1">
        <v>44662</v>
      </c>
      <c r="E236" s="1">
        <v>44692</v>
      </c>
      <c r="F236" t="s">
        <v>43</v>
      </c>
      <c r="G236" t="s">
        <v>44</v>
      </c>
      <c r="H236" t="s">
        <v>9</v>
      </c>
      <c r="I236">
        <v>0.5</v>
      </c>
      <c r="J236">
        <v>12000</v>
      </c>
      <c r="K236">
        <v>30</v>
      </c>
      <c r="L236">
        <v>6000</v>
      </c>
      <c r="M236" t="s">
        <v>29</v>
      </c>
    </row>
    <row r="237" spans="1:13" ht="14" x14ac:dyDescent="0.15">
      <c r="A237" t="s">
        <v>17</v>
      </c>
      <c r="B237" t="s">
        <v>42</v>
      </c>
      <c r="C237">
        <v>1185732</v>
      </c>
      <c r="D237" s="1">
        <v>44662</v>
      </c>
      <c r="E237" s="1">
        <v>44692</v>
      </c>
      <c r="F237" t="s">
        <v>43</v>
      </c>
      <c r="G237" t="s">
        <v>44</v>
      </c>
      <c r="H237" t="s">
        <v>10</v>
      </c>
      <c r="I237">
        <v>0.5</v>
      </c>
      <c r="J237">
        <v>9000</v>
      </c>
      <c r="K237">
        <v>30</v>
      </c>
      <c r="L237">
        <v>4500</v>
      </c>
      <c r="M237" t="s">
        <v>29</v>
      </c>
    </row>
    <row r="238" spans="1:13" ht="14" x14ac:dyDescent="0.15">
      <c r="A238" t="s">
        <v>17</v>
      </c>
      <c r="B238" t="s">
        <v>42</v>
      </c>
      <c r="C238">
        <v>1185732</v>
      </c>
      <c r="D238" s="1">
        <v>44662</v>
      </c>
      <c r="E238" s="1">
        <v>44692</v>
      </c>
      <c r="F238" t="s">
        <v>43</v>
      </c>
      <c r="G238" t="s">
        <v>44</v>
      </c>
      <c r="H238" t="s">
        <v>11</v>
      </c>
      <c r="I238">
        <v>0.4</v>
      </c>
      <c r="J238">
        <v>9000</v>
      </c>
      <c r="K238">
        <v>30</v>
      </c>
      <c r="L238">
        <v>3600</v>
      </c>
      <c r="M238" t="s">
        <v>29</v>
      </c>
    </row>
    <row r="239" spans="1:13" ht="14" x14ac:dyDescent="0.15">
      <c r="A239" t="s">
        <v>17</v>
      </c>
      <c r="B239" t="s">
        <v>42</v>
      </c>
      <c r="C239">
        <v>1185732</v>
      </c>
      <c r="D239" s="1">
        <v>44662</v>
      </c>
      <c r="E239" s="1">
        <v>44692</v>
      </c>
      <c r="F239" t="s">
        <v>43</v>
      </c>
      <c r="G239" t="s">
        <v>44</v>
      </c>
      <c r="H239" t="s">
        <v>12</v>
      </c>
      <c r="I239">
        <v>0.45</v>
      </c>
      <c r="J239">
        <v>8250</v>
      </c>
      <c r="K239">
        <v>30</v>
      </c>
      <c r="L239">
        <v>3712.5</v>
      </c>
      <c r="M239" t="s">
        <v>29</v>
      </c>
    </row>
    <row r="240" spans="1:13" ht="14" x14ac:dyDescent="0.15">
      <c r="A240" t="s">
        <v>17</v>
      </c>
      <c r="B240" t="s">
        <v>42</v>
      </c>
      <c r="C240">
        <v>1185732</v>
      </c>
      <c r="D240" s="1">
        <v>44662</v>
      </c>
      <c r="E240" s="1">
        <v>44692</v>
      </c>
      <c r="F240" t="s">
        <v>43</v>
      </c>
      <c r="G240" t="s">
        <v>44</v>
      </c>
      <c r="H240" t="s">
        <v>13</v>
      </c>
      <c r="I240">
        <v>0.6</v>
      </c>
      <c r="J240">
        <v>8250</v>
      </c>
      <c r="K240">
        <v>30</v>
      </c>
      <c r="L240">
        <v>4950</v>
      </c>
      <c r="M240" t="s">
        <v>29</v>
      </c>
    </row>
    <row r="241" spans="1:13" ht="14" x14ac:dyDescent="0.15">
      <c r="A241" t="s">
        <v>17</v>
      </c>
      <c r="B241" t="s">
        <v>42</v>
      </c>
      <c r="C241">
        <v>1185732</v>
      </c>
      <c r="D241" s="1">
        <v>44662</v>
      </c>
      <c r="E241" s="1">
        <v>44692</v>
      </c>
      <c r="F241" t="s">
        <v>43</v>
      </c>
      <c r="G241" t="s">
        <v>44</v>
      </c>
      <c r="H241" t="s">
        <v>14</v>
      </c>
      <c r="I241">
        <v>0.5</v>
      </c>
      <c r="J241">
        <v>9500</v>
      </c>
      <c r="K241">
        <v>30</v>
      </c>
      <c r="L241">
        <v>4750</v>
      </c>
      <c r="M241" t="s">
        <v>29</v>
      </c>
    </row>
    <row r="242" spans="1:13" ht="14" x14ac:dyDescent="0.15">
      <c r="A242" t="s">
        <v>17</v>
      </c>
      <c r="B242" t="s">
        <v>42</v>
      </c>
      <c r="C242">
        <v>1185732</v>
      </c>
      <c r="D242" s="1">
        <v>44691</v>
      </c>
      <c r="E242" s="1">
        <v>44721</v>
      </c>
      <c r="F242" t="s">
        <v>43</v>
      </c>
      <c r="G242" t="s">
        <v>44</v>
      </c>
      <c r="H242" t="s">
        <v>9</v>
      </c>
      <c r="I242">
        <v>0.6</v>
      </c>
      <c r="J242">
        <v>12200</v>
      </c>
      <c r="K242">
        <v>30</v>
      </c>
      <c r="L242">
        <v>7320</v>
      </c>
      <c r="M242" t="s">
        <v>30</v>
      </c>
    </row>
    <row r="243" spans="1:13" ht="14" x14ac:dyDescent="0.15">
      <c r="A243" t="s">
        <v>17</v>
      </c>
      <c r="B243" t="s">
        <v>42</v>
      </c>
      <c r="C243">
        <v>1185732</v>
      </c>
      <c r="D243" s="1">
        <v>44691</v>
      </c>
      <c r="E243" s="1">
        <v>44721</v>
      </c>
      <c r="F243" t="s">
        <v>43</v>
      </c>
      <c r="G243" t="s">
        <v>44</v>
      </c>
      <c r="H243" t="s">
        <v>10</v>
      </c>
      <c r="I243">
        <v>0.55000000000000004</v>
      </c>
      <c r="J243">
        <v>9250</v>
      </c>
      <c r="K243">
        <v>30</v>
      </c>
      <c r="L243">
        <v>5087.5</v>
      </c>
      <c r="M243" t="s">
        <v>30</v>
      </c>
    </row>
    <row r="244" spans="1:13" ht="14" x14ac:dyDescent="0.15">
      <c r="A244" t="s">
        <v>17</v>
      </c>
      <c r="B244" t="s">
        <v>42</v>
      </c>
      <c r="C244">
        <v>1185732</v>
      </c>
      <c r="D244" s="1">
        <v>44691</v>
      </c>
      <c r="E244" s="1">
        <v>44721</v>
      </c>
      <c r="F244" t="s">
        <v>43</v>
      </c>
      <c r="G244" t="s">
        <v>44</v>
      </c>
      <c r="H244" t="s">
        <v>11</v>
      </c>
      <c r="I244">
        <v>0.5</v>
      </c>
      <c r="J244">
        <v>9000</v>
      </c>
      <c r="K244">
        <v>30</v>
      </c>
      <c r="L244">
        <v>4500</v>
      </c>
      <c r="M244" t="s">
        <v>30</v>
      </c>
    </row>
    <row r="245" spans="1:13" ht="14" x14ac:dyDescent="0.15">
      <c r="A245" t="s">
        <v>17</v>
      </c>
      <c r="B245" t="s">
        <v>42</v>
      </c>
      <c r="C245">
        <v>1185732</v>
      </c>
      <c r="D245" s="1">
        <v>44691</v>
      </c>
      <c r="E245" s="1">
        <v>44721</v>
      </c>
      <c r="F245" t="s">
        <v>43</v>
      </c>
      <c r="G245" t="s">
        <v>44</v>
      </c>
      <c r="H245" t="s">
        <v>12</v>
      </c>
      <c r="I245">
        <v>0.5</v>
      </c>
      <c r="J245">
        <v>8500</v>
      </c>
      <c r="K245">
        <v>30</v>
      </c>
      <c r="L245">
        <v>4250</v>
      </c>
      <c r="M245" t="s">
        <v>30</v>
      </c>
    </row>
    <row r="246" spans="1:13" ht="14" x14ac:dyDescent="0.15">
      <c r="A246" t="s">
        <v>17</v>
      </c>
      <c r="B246" t="s">
        <v>42</v>
      </c>
      <c r="C246">
        <v>1185732</v>
      </c>
      <c r="D246" s="1">
        <v>44691</v>
      </c>
      <c r="E246" s="1">
        <v>44721</v>
      </c>
      <c r="F246" t="s">
        <v>43</v>
      </c>
      <c r="G246" t="s">
        <v>44</v>
      </c>
      <c r="H246" t="s">
        <v>13</v>
      </c>
      <c r="I246">
        <v>0.6</v>
      </c>
      <c r="J246">
        <v>8750</v>
      </c>
      <c r="K246">
        <v>30</v>
      </c>
      <c r="L246">
        <v>5250</v>
      </c>
      <c r="M246" t="s">
        <v>30</v>
      </c>
    </row>
    <row r="247" spans="1:13" ht="14" x14ac:dyDescent="0.15">
      <c r="A247" t="s">
        <v>17</v>
      </c>
      <c r="B247" t="s">
        <v>42</v>
      </c>
      <c r="C247">
        <v>1185732</v>
      </c>
      <c r="D247" s="1">
        <v>44691</v>
      </c>
      <c r="E247" s="1">
        <v>44721</v>
      </c>
      <c r="F247" t="s">
        <v>43</v>
      </c>
      <c r="G247" t="s">
        <v>44</v>
      </c>
      <c r="H247" t="s">
        <v>14</v>
      </c>
      <c r="I247">
        <v>0.65</v>
      </c>
      <c r="J247">
        <v>10000</v>
      </c>
      <c r="K247">
        <v>30</v>
      </c>
      <c r="L247">
        <v>6500</v>
      </c>
      <c r="M247" t="s">
        <v>30</v>
      </c>
    </row>
    <row r="248" spans="1:13" ht="14" x14ac:dyDescent="0.15">
      <c r="A248" t="s">
        <v>17</v>
      </c>
      <c r="B248" t="s">
        <v>42</v>
      </c>
      <c r="C248">
        <v>1185732</v>
      </c>
      <c r="D248" s="1">
        <v>44724</v>
      </c>
      <c r="E248" s="1">
        <v>44754</v>
      </c>
      <c r="F248" t="s">
        <v>43</v>
      </c>
      <c r="G248" t="s">
        <v>44</v>
      </c>
      <c r="H248" t="s">
        <v>9</v>
      </c>
      <c r="I248">
        <v>0.6</v>
      </c>
      <c r="J248">
        <v>12500</v>
      </c>
      <c r="K248">
        <v>30</v>
      </c>
      <c r="L248">
        <v>7500</v>
      </c>
      <c r="M248" t="s">
        <v>31</v>
      </c>
    </row>
    <row r="249" spans="1:13" ht="14" x14ac:dyDescent="0.15">
      <c r="A249" t="s">
        <v>17</v>
      </c>
      <c r="B249" t="s">
        <v>42</v>
      </c>
      <c r="C249">
        <v>1185732</v>
      </c>
      <c r="D249" s="1">
        <v>44724</v>
      </c>
      <c r="E249" s="1">
        <v>44754</v>
      </c>
      <c r="F249" t="s">
        <v>43</v>
      </c>
      <c r="G249" t="s">
        <v>44</v>
      </c>
      <c r="H249" t="s">
        <v>10</v>
      </c>
      <c r="I249">
        <v>0.55000000000000004</v>
      </c>
      <c r="J249">
        <v>10000</v>
      </c>
      <c r="K249">
        <v>30</v>
      </c>
      <c r="L249">
        <v>5500</v>
      </c>
      <c r="M249" t="s">
        <v>31</v>
      </c>
    </row>
    <row r="250" spans="1:13" ht="14" x14ac:dyDescent="0.15">
      <c r="A250" t="s">
        <v>17</v>
      </c>
      <c r="B250" t="s">
        <v>42</v>
      </c>
      <c r="C250">
        <v>1185732</v>
      </c>
      <c r="D250" s="1">
        <v>44724</v>
      </c>
      <c r="E250" s="1">
        <v>44754</v>
      </c>
      <c r="F250" t="s">
        <v>43</v>
      </c>
      <c r="G250" t="s">
        <v>44</v>
      </c>
      <c r="H250" t="s">
        <v>11</v>
      </c>
      <c r="I250">
        <v>0.5</v>
      </c>
      <c r="J250">
        <v>9250</v>
      </c>
      <c r="K250">
        <v>30</v>
      </c>
      <c r="L250">
        <v>4625</v>
      </c>
      <c r="M250" t="s">
        <v>31</v>
      </c>
    </row>
    <row r="251" spans="1:13" ht="14" x14ac:dyDescent="0.15">
      <c r="A251" t="s">
        <v>17</v>
      </c>
      <c r="B251" t="s">
        <v>42</v>
      </c>
      <c r="C251">
        <v>1185732</v>
      </c>
      <c r="D251" s="1">
        <v>44724</v>
      </c>
      <c r="E251" s="1">
        <v>44754</v>
      </c>
      <c r="F251" t="s">
        <v>43</v>
      </c>
      <c r="G251" t="s">
        <v>44</v>
      </c>
      <c r="H251" t="s">
        <v>12</v>
      </c>
      <c r="I251">
        <v>0.5</v>
      </c>
      <c r="J251">
        <v>9000</v>
      </c>
      <c r="K251">
        <v>30</v>
      </c>
      <c r="L251">
        <v>4500</v>
      </c>
      <c r="M251" t="s">
        <v>31</v>
      </c>
    </row>
    <row r="252" spans="1:13" ht="14" x14ac:dyDescent="0.15">
      <c r="A252" t="s">
        <v>17</v>
      </c>
      <c r="B252" t="s">
        <v>42</v>
      </c>
      <c r="C252">
        <v>1185732</v>
      </c>
      <c r="D252" s="1">
        <v>44724</v>
      </c>
      <c r="E252" s="1">
        <v>44754</v>
      </c>
      <c r="F252" t="s">
        <v>43</v>
      </c>
      <c r="G252" t="s">
        <v>44</v>
      </c>
      <c r="H252" t="s">
        <v>13</v>
      </c>
      <c r="I252">
        <v>0.6</v>
      </c>
      <c r="J252">
        <v>9000</v>
      </c>
      <c r="K252">
        <v>30</v>
      </c>
      <c r="L252">
        <v>5400</v>
      </c>
      <c r="M252" t="s">
        <v>31</v>
      </c>
    </row>
    <row r="253" spans="1:13" ht="14" x14ac:dyDescent="0.15">
      <c r="A253" t="s">
        <v>17</v>
      </c>
      <c r="B253" t="s">
        <v>42</v>
      </c>
      <c r="C253">
        <v>1185732</v>
      </c>
      <c r="D253" s="1">
        <v>44724</v>
      </c>
      <c r="E253" s="1">
        <v>44754</v>
      </c>
      <c r="F253" t="s">
        <v>43</v>
      </c>
      <c r="G253" t="s">
        <v>44</v>
      </c>
      <c r="H253" t="s">
        <v>14</v>
      </c>
      <c r="I253">
        <v>0.65</v>
      </c>
      <c r="J253">
        <v>10500</v>
      </c>
      <c r="K253">
        <v>30</v>
      </c>
      <c r="L253">
        <v>6825</v>
      </c>
      <c r="M253" t="s">
        <v>31</v>
      </c>
    </row>
    <row r="254" spans="1:13" ht="14" x14ac:dyDescent="0.15">
      <c r="A254" t="s">
        <v>17</v>
      </c>
      <c r="B254" t="s">
        <v>42</v>
      </c>
      <c r="C254">
        <v>1185732</v>
      </c>
      <c r="D254" s="1">
        <v>44752</v>
      </c>
      <c r="E254" s="1">
        <v>44782</v>
      </c>
      <c r="F254" t="s">
        <v>43</v>
      </c>
      <c r="G254" t="s">
        <v>44</v>
      </c>
      <c r="H254" t="s">
        <v>9</v>
      </c>
      <c r="I254">
        <v>0.6</v>
      </c>
      <c r="J254">
        <v>12750</v>
      </c>
      <c r="K254">
        <v>30</v>
      </c>
      <c r="L254">
        <v>7650</v>
      </c>
      <c r="M254" t="s">
        <v>32</v>
      </c>
    </row>
    <row r="255" spans="1:13" ht="14" x14ac:dyDescent="0.15">
      <c r="A255" t="s">
        <v>17</v>
      </c>
      <c r="B255" t="s">
        <v>42</v>
      </c>
      <c r="C255">
        <v>1185732</v>
      </c>
      <c r="D255" s="1">
        <v>44752</v>
      </c>
      <c r="E255" s="1">
        <v>44782</v>
      </c>
      <c r="F255" t="s">
        <v>43</v>
      </c>
      <c r="G255" t="s">
        <v>44</v>
      </c>
      <c r="H255" t="s">
        <v>10</v>
      </c>
      <c r="I255">
        <v>0.55000000000000004</v>
      </c>
      <c r="J255">
        <v>10250</v>
      </c>
      <c r="K255">
        <v>30</v>
      </c>
      <c r="L255">
        <v>5637.5000000000009</v>
      </c>
      <c r="M255" t="s">
        <v>32</v>
      </c>
    </row>
    <row r="256" spans="1:13" ht="14" x14ac:dyDescent="0.15">
      <c r="A256" t="s">
        <v>17</v>
      </c>
      <c r="B256" t="s">
        <v>42</v>
      </c>
      <c r="C256">
        <v>1185732</v>
      </c>
      <c r="D256" s="1">
        <v>44752</v>
      </c>
      <c r="E256" s="1">
        <v>44782</v>
      </c>
      <c r="F256" t="s">
        <v>43</v>
      </c>
      <c r="G256" t="s">
        <v>44</v>
      </c>
      <c r="H256" t="s">
        <v>11</v>
      </c>
      <c r="I256">
        <v>0.5</v>
      </c>
      <c r="J256">
        <v>9500</v>
      </c>
      <c r="K256">
        <v>30</v>
      </c>
      <c r="L256">
        <v>4750</v>
      </c>
      <c r="M256" t="s">
        <v>32</v>
      </c>
    </row>
    <row r="257" spans="1:13" ht="14" x14ac:dyDescent="0.15">
      <c r="A257" t="s">
        <v>17</v>
      </c>
      <c r="B257" t="s">
        <v>42</v>
      </c>
      <c r="C257">
        <v>1185732</v>
      </c>
      <c r="D257" s="1">
        <v>44752</v>
      </c>
      <c r="E257" s="1">
        <v>44782</v>
      </c>
      <c r="F257" t="s">
        <v>43</v>
      </c>
      <c r="G257" t="s">
        <v>44</v>
      </c>
      <c r="H257" t="s">
        <v>12</v>
      </c>
      <c r="I257">
        <v>0.5</v>
      </c>
      <c r="J257">
        <v>9000</v>
      </c>
      <c r="K257">
        <v>30</v>
      </c>
      <c r="L257">
        <v>4500</v>
      </c>
      <c r="M257" t="s">
        <v>32</v>
      </c>
    </row>
    <row r="258" spans="1:13" ht="14" x14ac:dyDescent="0.15">
      <c r="A258" t="s">
        <v>17</v>
      </c>
      <c r="B258" t="s">
        <v>42</v>
      </c>
      <c r="C258">
        <v>1185732</v>
      </c>
      <c r="D258" s="1">
        <v>44752</v>
      </c>
      <c r="E258" s="1">
        <v>44782</v>
      </c>
      <c r="F258" t="s">
        <v>43</v>
      </c>
      <c r="G258" t="s">
        <v>44</v>
      </c>
      <c r="H258" t="s">
        <v>13</v>
      </c>
      <c r="I258">
        <v>0.6</v>
      </c>
      <c r="J258">
        <v>9250</v>
      </c>
      <c r="K258">
        <v>30</v>
      </c>
      <c r="L258">
        <v>5550</v>
      </c>
      <c r="M258" t="s">
        <v>32</v>
      </c>
    </row>
    <row r="259" spans="1:13" ht="14" x14ac:dyDescent="0.15">
      <c r="A259" t="s">
        <v>17</v>
      </c>
      <c r="B259" t="s">
        <v>42</v>
      </c>
      <c r="C259">
        <v>1185732</v>
      </c>
      <c r="D259" s="1">
        <v>44752</v>
      </c>
      <c r="E259" s="1">
        <v>44782</v>
      </c>
      <c r="F259" t="s">
        <v>43</v>
      </c>
      <c r="G259" t="s">
        <v>44</v>
      </c>
      <c r="H259" t="s">
        <v>14</v>
      </c>
      <c r="I259">
        <v>0.65</v>
      </c>
      <c r="J259">
        <v>11000</v>
      </c>
      <c r="K259">
        <v>30</v>
      </c>
      <c r="L259">
        <v>7150</v>
      </c>
      <c r="M259" t="s">
        <v>32</v>
      </c>
    </row>
    <row r="260" spans="1:13" ht="14" x14ac:dyDescent="0.15">
      <c r="A260" t="s">
        <v>17</v>
      </c>
      <c r="B260" t="s">
        <v>42</v>
      </c>
      <c r="C260">
        <v>1185732</v>
      </c>
      <c r="D260" s="1">
        <v>44784</v>
      </c>
      <c r="E260" s="1">
        <v>44814</v>
      </c>
      <c r="F260" t="s">
        <v>43</v>
      </c>
      <c r="G260" t="s">
        <v>44</v>
      </c>
      <c r="H260" t="s">
        <v>9</v>
      </c>
      <c r="I260">
        <v>0.6</v>
      </c>
      <c r="J260">
        <v>12500</v>
      </c>
      <c r="K260">
        <v>30</v>
      </c>
      <c r="L260">
        <v>7500</v>
      </c>
      <c r="M260" t="s">
        <v>33</v>
      </c>
    </row>
    <row r="261" spans="1:13" ht="14" x14ac:dyDescent="0.15">
      <c r="A261" t="s">
        <v>17</v>
      </c>
      <c r="B261" t="s">
        <v>42</v>
      </c>
      <c r="C261">
        <v>1185732</v>
      </c>
      <c r="D261" s="1">
        <v>44784</v>
      </c>
      <c r="E261" s="1">
        <v>44814</v>
      </c>
      <c r="F261" t="s">
        <v>43</v>
      </c>
      <c r="G261" t="s">
        <v>44</v>
      </c>
      <c r="H261" t="s">
        <v>10</v>
      </c>
      <c r="I261">
        <v>0.55000000000000004</v>
      </c>
      <c r="J261">
        <v>10250</v>
      </c>
      <c r="K261">
        <v>30</v>
      </c>
      <c r="L261">
        <v>5637.5000000000009</v>
      </c>
      <c r="M261" t="s">
        <v>33</v>
      </c>
    </row>
    <row r="262" spans="1:13" ht="14" x14ac:dyDescent="0.15">
      <c r="A262" t="s">
        <v>17</v>
      </c>
      <c r="B262" t="s">
        <v>42</v>
      </c>
      <c r="C262">
        <v>1185732</v>
      </c>
      <c r="D262" s="1">
        <v>44784</v>
      </c>
      <c r="E262" s="1">
        <v>44814</v>
      </c>
      <c r="F262" t="s">
        <v>43</v>
      </c>
      <c r="G262" t="s">
        <v>44</v>
      </c>
      <c r="H262" t="s">
        <v>11</v>
      </c>
      <c r="I262">
        <v>0.5</v>
      </c>
      <c r="J262">
        <v>9500</v>
      </c>
      <c r="K262">
        <v>30</v>
      </c>
      <c r="L262">
        <v>4750</v>
      </c>
      <c r="M262" t="s">
        <v>33</v>
      </c>
    </row>
    <row r="263" spans="1:13" ht="14" x14ac:dyDescent="0.15">
      <c r="A263" t="s">
        <v>17</v>
      </c>
      <c r="B263" t="s">
        <v>42</v>
      </c>
      <c r="C263">
        <v>1185732</v>
      </c>
      <c r="D263" s="1">
        <v>44784</v>
      </c>
      <c r="E263" s="1">
        <v>44814</v>
      </c>
      <c r="F263" t="s">
        <v>43</v>
      </c>
      <c r="G263" t="s">
        <v>44</v>
      </c>
      <c r="H263" t="s">
        <v>12</v>
      </c>
      <c r="I263">
        <v>0.5</v>
      </c>
      <c r="J263">
        <v>9250</v>
      </c>
      <c r="K263">
        <v>30</v>
      </c>
      <c r="L263">
        <v>4625</v>
      </c>
      <c r="M263" t="s">
        <v>33</v>
      </c>
    </row>
    <row r="264" spans="1:13" ht="14" x14ac:dyDescent="0.15">
      <c r="A264" t="s">
        <v>17</v>
      </c>
      <c r="B264" t="s">
        <v>42</v>
      </c>
      <c r="C264">
        <v>1185732</v>
      </c>
      <c r="D264" s="1">
        <v>44784</v>
      </c>
      <c r="E264" s="1">
        <v>44814</v>
      </c>
      <c r="F264" t="s">
        <v>43</v>
      </c>
      <c r="G264" t="s">
        <v>44</v>
      </c>
      <c r="H264" t="s">
        <v>13</v>
      </c>
      <c r="I264">
        <v>0.6</v>
      </c>
      <c r="J264">
        <v>9000</v>
      </c>
      <c r="K264">
        <v>30</v>
      </c>
      <c r="L264">
        <v>5400</v>
      </c>
      <c r="M264" t="s">
        <v>33</v>
      </c>
    </row>
    <row r="265" spans="1:13" ht="14" x14ac:dyDescent="0.15">
      <c r="A265" t="s">
        <v>17</v>
      </c>
      <c r="B265" t="s">
        <v>42</v>
      </c>
      <c r="C265">
        <v>1185732</v>
      </c>
      <c r="D265" s="1">
        <v>44784</v>
      </c>
      <c r="E265" s="1">
        <v>44814</v>
      </c>
      <c r="F265" t="s">
        <v>43</v>
      </c>
      <c r="G265" t="s">
        <v>44</v>
      </c>
      <c r="H265" t="s">
        <v>14</v>
      </c>
      <c r="I265">
        <v>0.65</v>
      </c>
      <c r="J265">
        <v>10750</v>
      </c>
      <c r="K265">
        <v>30</v>
      </c>
      <c r="L265">
        <v>6987.5</v>
      </c>
      <c r="M265" t="s">
        <v>33</v>
      </c>
    </row>
    <row r="266" spans="1:13" ht="14" x14ac:dyDescent="0.15">
      <c r="A266" t="s">
        <v>17</v>
      </c>
      <c r="B266" t="s">
        <v>42</v>
      </c>
      <c r="C266">
        <v>1185732</v>
      </c>
      <c r="D266" s="1">
        <v>44814</v>
      </c>
      <c r="E266" s="1">
        <v>44844</v>
      </c>
      <c r="F266" t="s">
        <v>43</v>
      </c>
      <c r="G266" t="s">
        <v>44</v>
      </c>
      <c r="H266" t="s">
        <v>9</v>
      </c>
      <c r="I266">
        <v>0.6</v>
      </c>
      <c r="J266">
        <v>12000</v>
      </c>
      <c r="K266">
        <v>30</v>
      </c>
      <c r="L266">
        <v>7200</v>
      </c>
      <c r="M266" t="s">
        <v>34</v>
      </c>
    </row>
    <row r="267" spans="1:13" ht="14" x14ac:dyDescent="0.15">
      <c r="A267" t="s">
        <v>17</v>
      </c>
      <c r="B267" t="s">
        <v>42</v>
      </c>
      <c r="C267">
        <v>1185732</v>
      </c>
      <c r="D267" s="1">
        <v>44814</v>
      </c>
      <c r="E267" s="1">
        <v>44844</v>
      </c>
      <c r="F267" t="s">
        <v>43</v>
      </c>
      <c r="G267" t="s">
        <v>44</v>
      </c>
      <c r="H267" t="s">
        <v>10</v>
      </c>
      <c r="I267">
        <v>0.55000000000000004</v>
      </c>
      <c r="J267">
        <v>10000</v>
      </c>
      <c r="K267">
        <v>30</v>
      </c>
      <c r="L267">
        <v>5500</v>
      </c>
      <c r="M267" t="s">
        <v>34</v>
      </c>
    </row>
    <row r="268" spans="1:13" ht="14" x14ac:dyDescent="0.15">
      <c r="A268" t="s">
        <v>17</v>
      </c>
      <c r="B268" t="s">
        <v>42</v>
      </c>
      <c r="C268">
        <v>1185732</v>
      </c>
      <c r="D268" s="1">
        <v>44814</v>
      </c>
      <c r="E268" s="1">
        <v>44844</v>
      </c>
      <c r="F268" t="s">
        <v>43</v>
      </c>
      <c r="G268" t="s">
        <v>44</v>
      </c>
      <c r="H268" t="s">
        <v>11</v>
      </c>
      <c r="I268">
        <v>0.5</v>
      </c>
      <c r="J268">
        <v>9250</v>
      </c>
      <c r="K268">
        <v>30</v>
      </c>
      <c r="L268">
        <v>4625</v>
      </c>
      <c r="M268" t="s">
        <v>34</v>
      </c>
    </row>
    <row r="269" spans="1:13" ht="14" x14ac:dyDescent="0.15">
      <c r="A269" t="s">
        <v>17</v>
      </c>
      <c r="B269" t="s">
        <v>42</v>
      </c>
      <c r="C269">
        <v>1185732</v>
      </c>
      <c r="D269" s="1">
        <v>44814</v>
      </c>
      <c r="E269" s="1">
        <v>44844</v>
      </c>
      <c r="F269" t="s">
        <v>43</v>
      </c>
      <c r="G269" t="s">
        <v>44</v>
      </c>
      <c r="H269" t="s">
        <v>12</v>
      </c>
      <c r="I269">
        <v>0.5</v>
      </c>
      <c r="J269">
        <v>9000</v>
      </c>
      <c r="K269">
        <v>30</v>
      </c>
      <c r="L269">
        <v>4500</v>
      </c>
      <c r="M269" t="s">
        <v>34</v>
      </c>
    </row>
    <row r="270" spans="1:13" ht="14" x14ac:dyDescent="0.15">
      <c r="A270" t="s">
        <v>17</v>
      </c>
      <c r="B270" t="s">
        <v>42</v>
      </c>
      <c r="C270">
        <v>1185732</v>
      </c>
      <c r="D270" s="1">
        <v>44814</v>
      </c>
      <c r="E270" s="1">
        <v>44844</v>
      </c>
      <c r="F270" t="s">
        <v>43</v>
      </c>
      <c r="G270" t="s">
        <v>44</v>
      </c>
      <c r="H270" t="s">
        <v>13</v>
      </c>
      <c r="I270">
        <v>0.6</v>
      </c>
      <c r="J270">
        <v>9000</v>
      </c>
      <c r="K270">
        <v>30</v>
      </c>
      <c r="L270">
        <v>5400</v>
      </c>
      <c r="M270" t="s">
        <v>34</v>
      </c>
    </row>
    <row r="271" spans="1:13" ht="14" x14ac:dyDescent="0.15">
      <c r="A271" t="s">
        <v>17</v>
      </c>
      <c r="B271" t="s">
        <v>42</v>
      </c>
      <c r="C271">
        <v>1185732</v>
      </c>
      <c r="D271" s="1">
        <v>44814</v>
      </c>
      <c r="E271" s="1">
        <v>44844</v>
      </c>
      <c r="F271" t="s">
        <v>43</v>
      </c>
      <c r="G271" t="s">
        <v>44</v>
      </c>
      <c r="H271" t="s">
        <v>14</v>
      </c>
      <c r="I271">
        <v>0.65</v>
      </c>
      <c r="J271">
        <v>10000</v>
      </c>
      <c r="K271">
        <v>30</v>
      </c>
      <c r="L271">
        <v>6500</v>
      </c>
      <c r="M271" t="s">
        <v>34</v>
      </c>
    </row>
    <row r="272" spans="1:13" ht="14" x14ac:dyDescent="0.15">
      <c r="A272" t="s">
        <v>17</v>
      </c>
      <c r="B272" t="s">
        <v>42</v>
      </c>
      <c r="C272">
        <v>1185732</v>
      </c>
      <c r="D272" s="1">
        <v>44846</v>
      </c>
      <c r="E272" s="1">
        <v>44876</v>
      </c>
      <c r="F272" t="s">
        <v>43</v>
      </c>
      <c r="G272" t="s">
        <v>44</v>
      </c>
      <c r="H272" t="s">
        <v>9</v>
      </c>
      <c r="I272">
        <v>0.65</v>
      </c>
      <c r="J272">
        <v>11750</v>
      </c>
      <c r="K272">
        <v>30</v>
      </c>
      <c r="L272">
        <v>7637.5</v>
      </c>
      <c r="M272" t="s">
        <v>35</v>
      </c>
    </row>
    <row r="273" spans="1:13" ht="14" x14ac:dyDescent="0.15">
      <c r="A273" t="s">
        <v>17</v>
      </c>
      <c r="B273" t="s">
        <v>42</v>
      </c>
      <c r="C273">
        <v>1185732</v>
      </c>
      <c r="D273" s="1">
        <v>44846</v>
      </c>
      <c r="E273" s="1">
        <v>44876</v>
      </c>
      <c r="F273" t="s">
        <v>43</v>
      </c>
      <c r="G273" t="s">
        <v>44</v>
      </c>
      <c r="H273" t="s">
        <v>10</v>
      </c>
      <c r="I273">
        <v>0.55000000000000004</v>
      </c>
      <c r="J273">
        <v>10000</v>
      </c>
      <c r="K273">
        <v>30</v>
      </c>
      <c r="L273">
        <v>5500</v>
      </c>
      <c r="M273" t="s">
        <v>35</v>
      </c>
    </row>
    <row r="274" spans="1:13" ht="14" x14ac:dyDescent="0.15">
      <c r="A274" t="s">
        <v>17</v>
      </c>
      <c r="B274" t="s">
        <v>42</v>
      </c>
      <c r="C274">
        <v>1185732</v>
      </c>
      <c r="D274" s="1">
        <v>44846</v>
      </c>
      <c r="E274" s="1">
        <v>44876</v>
      </c>
      <c r="F274" t="s">
        <v>43</v>
      </c>
      <c r="G274" t="s">
        <v>44</v>
      </c>
      <c r="H274" t="s">
        <v>11</v>
      </c>
      <c r="I274">
        <v>0.55000000000000004</v>
      </c>
      <c r="J274">
        <v>9000</v>
      </c>
      <c r="K274">
        <v>30</v>
      </c>
      <c r="L274">
        <v>4950</v>
      </c>
      <c r="M274" t="s">
        <v>35</v>
      </c>
    </row>
    <row r="275" spans="1:13" ht="14" x14ac:dyDescent="0.15">
      <c r="A275" t="s">
        <v>17</v>
      </c>
      <c r="B275" t="s">
        <v>42</v>
      </c>
      <c r="C275">
        <v>1185732</v>
      </c>
      <c r="D275" s="1">
        <v>44846</v>
      </c>
      <c r="E275" s="1">
        <v>44876</v>
      </c>
      <c r="F275" t="s">
        <v>43</v>
      </c>
      <c r="G275" t="s">
        <v>44</v>
      </c>
      <c r="H275" t="s">
        <v>12</v>
      </c>
      <c r="I275">
        <v>0.55000000000000004</v>
      </c>
      <c r="J275">
        <v>8750</v>
      </c>
      <c r="K275">
        <v>30</v>
      </c>
      <c r="L275">
        <v>4812.5</v>
      </c>
      <c r="M275" t="s">
        <v>35</v>
      </c>
    </row>
    <row r="276" spans="1:13" ht="14" x14ac:dyDescent="0.15">
      <c r="A276" t="s">
        <v>17</v>
      </c>
      <c r="B276" t="s">
        <v>42</v>
      </c>
      <c r="C276">
        <v>1185732</v>
      </c>
      <c r="D276" s="1">
        <v>44846</v>
      </c>
      <c r="E276" s="1">
        <v>44876</v>
      </c>
      <c r="F276" t="s">
        <v>43</v>
      </c>
      <c r="G276" t="s">
        <v>44</v>
      </c>
      <c r="H276" t="s">
        <v>13</v>
      </c>
      <c r="I276">
        <v>0.65</v>
      </c>
      <c r="J276">
        <v>8750</v>
      </c>
      <c r="K276">
        <v>30</v>
      </c>
      <c r="L276">
        <v>5687.5</v>
      </c>
      <c r="M276" t="s">
        <v>35</v>
      </c>
    </row>
    <row r="277" spans="1:13" ht="14" x14ac:dyDescent="0.15">
      <c r="A277" t="s">
        <v>17</v>
      </c>
      <c r="B277" t="s">
        <v>42</v>
      </c>
      <c r="C277">
        <v>1185732</v>
      </c>
      <c r="D277" s="1">
        <v>44846</v>
      </c>
      <c r="E277" s="1">
        <v>44876</v>
      </c>
      <c r="F277" t="s">
        <v>43</v>
      </c>
      <c r="G277" t="s">
        <v>44</v>
      </c>
      <c r="H277" t="s">
        <v>14</v>
      </c>
      <c r="I277">
        <v>0.7</v>
      </c>
      <c r="J277">
        <v>10000</v>
      </c>
      <c r="K277">
        <v>30</v>
      </c>
      <c r="L277">
        <v>7000</v>
      </c>
      <c r="M277" t="s">
        <v>35</v>
      </c>
    </row>
    <row r="278" spans="1:13" ht="14" x14ac:dyDescent="0.15">
      <c r="A278" t="s">
        <v>17</v>
      </c>
      <c r="B278" t="s">
        <v>42</v>
      </c>
      <c r="C278">
        <v>1185732</v>
      </c>
      <c r="D278" s="1">
        <v>44876</v>
      </c>
      <c r="E278" s="1">
        <v>44906</v>
      </c>
      <c r="F278" t="s">
        <v>43</v>
      </c>
      <c r="G278" t="s">
        <v>44</v>
      </c>
      <c r="H278" t="s">
        <v>9</v>
      </c>
      <c r="I278">
        <v>0.65</v>
      </c>
      <c r="J278">
        <v>11500</v>
      </c>
      <c r="K278">
        <v>30</v>
      </c>
      <c r="L278">
        <v>7475</v>
      </c>
      <c r="M278" t="s">
        <v>36</v>
      </c>
    </row>
    <row r="279" spans="1:13" ht="14" x14ac:dyDescent="0.15">
      <c r="A279" t="s">
        <v>17</v>
      </c>
      <c r="B279" t="s">
        <v>42</v>
      </c>
      <c r="C279">
        <v>1185732</v>
      </c>
      <c r="D279" s="1">
        <v>44876</v>
      </c>
      <c r="E279" s="1">
        <v>44906</v>
      </c>
      <c r="F279" t="s">
        <v>43</v>
      </c>
      <c r="G279" t="s">
        <v>44</v>
      </c>
      <c r="H279" t="s">
        <v>10</v>
      </c>
      <c r="I279">
        <v>0.55000000000000004</v>
      </c>
      <c r="J279">
        <v>9750</v>
      </c>
      <c r="K279">
        <v>30</v>
      </c>
      <c r="L279">
        <v>5362.5</v>
      </c>
      <c r="M279" t="s">
        <v>36</v>
      </c>
    </row>
    <row r="280" spans="1:13" ht="14" x14ac:dyDescent="0.15">
      <c r="A280" t="s">
        <v>17</v>
      </c>
      <c r="B280" t="s">
        <v>42</v>
      </c>
      <c r="C280">
        <v>1185732</v>
      </c>
      <c r="D280" s="1">
        <v>44876</v>
      </c>
      <c r="E280" s="1">
        <v>44906</v>
      </c>
      <c r="F280" t="s">
        <v>43</v>
      </c>
      <c r="G280" t="s">
        <v>44</v>
      </c>
      <c r="H280" t="s">
        <v>11</v>
      </c>
      <c r="I280">
        <v>0.55000000000000004</v>
      </c>
      <c r="J280">
        <v>9200</v>
      </c>
      <c r="K280">
        <v>30</v>
      </c>
      <c r="L280">
        <v>5060</v>
      </c>
      <c r="M280" t="s">
        <v>36</v>
      </c>
    </row>
    <row r="281" spans="1:13" ht="14" x14ac:dyDescent="0.15">
      <c r="A281" t="s">
        <v>17</v>
      </c>
      <c r="B281" t="s">
        <v>42</v>
      </c>
      <c r="C281">
        <v>1185732</v>
      </c>
      <c r="D281" s="1">
        <v>44876</v>
      </c>
      <c r="E281" s="1">
        <v>44906</v>
      </c>
      <c r="F281" t="s">
        <v>43</v>
      </c>
      <c r="G281" t="s">
        <v>44</v>
      </c>
      <c r="H281" t="s">
        <v>12</v>
      </c>
      <c r="I281">
        <v>0.55000000000000004</v>
      </c>
      <c r="J281">
        <v>9000</v>
      </c>
      <c r="K281">
        <v>30</v>
      </c>
      <c r="L281">
        <v>4950</v>
      </c>
      <c r="M281" t="s">
        <v>36</v>
      </c>
    </row>
    <row r="282" spans="1:13" ht="14" x14ac:dyDescent="0.15">
      <c r="A282" t="s">
        <v>17</v>
      </c>
      <c r="B282" t="s">
        <v>42</v>
      </c>
      <c r="C282">
        <v>1185732</v>
      </c>
      <c r="D282" s="1">
        <v>44876</v>
      </c>
      <c r="E282" s="1">
        <v>44906</v>
      </c>
      <c r="F282" t="s">
        <v>43</v>
      </c>
      <c r="G282" t="s">
        <v>44</v>
      </c>
      <c r="H282" t="s">
        <v>13</v>
      </c>
      <c r="I282">
        <v>0.65</v>
      </c>
      <c r="J282">
        <v>8750</v>
      </c>
      <c r="K282">
        <v>30</v>
      </c>
      <c r="L282">
        <v>5687.5</v>
      </c>
      <c r="M282" t="s">
        <v>36</v>
      </c>
    </row>
    <row r="283" spans="1:13" ht="14" x14ac:dyDescent="0.15">
      <c r="A283" t="s">
        <v>17</v>
      </c>
      <c r="B283" t="s">
        <v>42</v>
      </c>
      <c r="C283">
        <v>1185732</v>
      </c>
      <c r="D283" s="1">
        <v>44876</v>
      </c>
      <c r="E283" s="1">
        <v>44906</v>
      </c>
      <c r="F283" t="s">
        <v>43</v>
      </c>
      <c r="G283" t="s">
        <v>44</v>
      </c>
      <c r="H283" t="s">
        <v>14</v>
      </c>
      <c r="I283">
        <v>0.7</v>
      </c>
      <c r="J283">
        <v>9750</v>
      </c>
      <c r="K283">
        <v>30</v>
      </c>
      <c r="L283">
        <v>6825</v>
      </c>
      <c r="M283" t="s">
        <v>36</v>
      </c>
    </row>
    <row r="284" spans="1:13" ht="14" x14ac:dyDescent="0.15">
      <c r="A284" t="s">
        <v>17</v>
      </c>
      <c r="B284" t="s">
        <v>42</v>
      </c>
      <c r="C284">
        <v>1185732</v>
      </c>
      <c r="D284" s="1">
        <v>44905</v>
      </c>
      <c r="E284" s="1">
        <v>44935</v>
      </c>
      <c r="F284" t="s">
        <v>43</v>
      </c>
      <c r="G284" t="s">
        <v>44</v>
      </c>
      <c r="H284" t="s">
        <v>9</v>
      </c>
      <c r="I284">
        <v>0.65</v>
      </c>
      <c r="J284">
        <v>12000</v>
      </c>
      <c r="K284">
        <v>30</v>
      </c>
      <c r="L284">
        <v>7800</v>
      </c>
      <c r="M284" t="s">
        <v>37</v>
      </c>
    </row>
    <row r="285" spans="1:13" ht="14" x14ac:dyDescent="0.15">
      <c r="A285" t="s">
        <v>17</v>
      </c>
      <c r="B285" t="s">
        <v>42</v>
      </c>
      <c r="C285">
        <v>1185732</v>
      </c>
      <c r="D285" s="1">
        <v>44905</v>
      </c>
      <c r="E285" s="1">
        <v>44935</v>
      </c>
      <c r="F285" t="s">
        <v>43</v>
      </c>
      <c r="G285" t="s">
        <v>44</v>
      </c>
      <c r="H285" t="s">
        <v>10</v>
      </c>
      <c r="I285">
        <v>0.55000000000000004</v>
      </c>
      <c r="J285">
        <v>10000</v>
      </c>
      <c r="K285">
        <v>30</v>
      </c>
      <c r="L285">
        <v>5500</v>
      </c>
      <c r="M285" t="s">
        <v>37</v>
      </c>
    </row>
    <row r="286" spans="1:13" ht="14" x14ac:dyDescent="0.15">
      <c r="A286" t="s">
        <v>17</v>
      </c>
      <c r="B286" t="s">
        <v>42</v>
      </c>
      <c r="C286">
        <v>1185732</v>
      </c>
      <c r="D286" s="1">
        <v>44905</v>
      </c>
      <c r="E286" s="1">
        <v>44935</v>
      </c>
      <c r="F286" t="s">
        <v>43</v>
      </c>
      <c r="G286" t="s">
        <v>44</v>
      </c>
      <c r="H286" t="s">
        <v>11</v>
      </c>
      <c r="I286">
        <v>0.55000000000000004</v>
      </c>
      <c r="J286">
        <v>9500</v>
      </c>
      <c r="K286">
        <v>30</v>
      </c>
      <c r="L286">
        <v>5225</v>
      </c>
      <c r="M286" t="s">
        <v>37</v>
      </c>
    </row>
    <row r="287" spans="1:13" ht="14" x14ac:dyDescent="0.15">
      <c r="A287" t="s">
        <v>17</v>
      </c>
      <c r="B287" t="s">
        <v>42</v>
      </c>
      <c r="C287">
        <v>1185732</v>
      </c>
      <c r="D287" s="1">
        <v>44905</v>
      </c>
      <c r="E287" s="1">
        <v>44935</v>
      </c>
      <c r="F287" t="s">
        <v>43</v>
      </c>
      <c r="G287" t="s">
        <v>44</v>
      </c>
      <c r="H287" t="s">
        <v>12</v>
      </c>
      <c r="I287">
        <v>0.55000000000000004</v>
      </c>
      <c r="J287">
        <v>9000</v>
      </c>
      <c r="K287">
        <v>30</v>
      </c>
      <c r="L287">
        <v>4950</v>
      </c>
      <c r="M287" t="s">
        <v>37</v>
      </c>
    </row>
    <row r="288" spans="1:13" ht="14" x14ac:dyDescent="0.15">
      <c r="A288" t="s">
        <v>17</v>
      </c>
      <c r="B288" t="s">
        <v>42</v>
      </c>
      <c r="C288">
        <v>1185732</v>
      </c>
      <c r="D288" s="1">
        <v>44905</v>
      </c>
      <c r="E288" s="1">
        <v>44935</v>
      </c>
      <c r="F288" t="s">
        <v>43</v>
      </c>
      <c r="G288" t="s">
        <v>44</v>
      </c>
      <c r="H288" t="s">
        <v>13</v>
      </c>
      <c r="I288">
        <v>0.65</v>
      </c>
      <c r="J288">
        <v>9000</v>
      </c>
      <c r="K288">
        <v>30</v>
      </c>
      <c r="L288">
        <v>5850</v>
      </c>
      <c r="M288" t="s">
        <v>37</v>
      </c>
    </row>
    <row r="289" spans="1:13" ht="14" x14ac:dyDescent="0.15">
      <c r="A289" t="s">
        <v>17</v>
      </c>
      <c r="B289" t="s">
        <v>42</v>
      </c>
      <c r="C289">
        <v>1185732</v>
      </c>
      <c r="D289" s="1">
        <v>44905</v>
      </c>
      <c r="E289" s="1">
        <v>44935</v>
      </c>
      <c r="F289" t="s">
        <v>43</v>
      </c>
      <c r="G289" t="s">
        <v>44</v>
      </c>
      <c r="H289" t="s">
        <v>14</v>
      </c>
      <c r="I289">
        <v>0.7</v>
      </c>
      <c r="J289">
        <v>10000</v>
      </c>
      <c r="K289">
        <v>30</v>
      </c>
      <c r="L289">
        <v>7000</v>
      </c>
      <c r="M289" t="s">
        <v>37</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ECDCF-17FD-6043-845A-82E548CED656}">
  <sheetPr codeName="Sheet3"/>
  <dimension ref="A1:B19"/>
  <sheetViews>
    <sheetView workbookViewId="0">
      <selection activeCell="A6" sqref="A6"/>
    </sheetView>
  </sheetViews>
  <sheetFormatPr baseColWidth="10" defaultRowHeight="14" x14ac:dyDescent="0.15"/>
  <cols>
    <col min="1" max="1" width="26.140625" bestFit="1" customWidth="1"/>
    <col min="2" max="2" width="13.5703125" bestFit="1" customWidth="1"/>
  </cols>
  <sheetData>
    <row r="1" spans="1:2" x14ac:dyDescent="0.15">
      <c r="A1" t="s">
        <v>45</v>
      </c>
    </row>
    <row r="2" spans="1:2" x14ac:dyDescent="0.15">
      <c r="A2" s="4">
        <v>1213017.5</v>
      </c>
    </row>
    <row r="5" spans="1:2" x14ac:dyDescent="0.15">
      <c r="A5" t="s">
        <v>46</v>
      </c>
    </row>
    <row r="6" spans="1:2" x14ac:dyDescent="0.15">
      <c r="A6" s="8">
        <v>2309850</v>
      </c>
    </row>
    <row r="9" spans="1:2" x14ac:dyDescent="0.15">
      <c r="A9" t="s">
        <v>47</v>
      </c>
    </row>
    <row r="10" spans="1:2" x14ac:dyDescent="0.15">
      <c r="A10" s="4">
        <v>0.52309027777777839</v>
      </c>
    </row>
    <row r="13" spans="1:2" x14ac:dyDescent="0.15">
      <c r="A13" s="3" t="s">
        <v>49</v>
      </c>
      <c r="B13" t="s">
        <v>45</v>
      </c>
    </row>
    <row r="14" spans="1:2" x14ac:dyDescent="0.15">
      <c r="A14" t="s">
        <v>14</v>
      </c>
      <c r="B14" s="4">
        <v>233775</v>
      </c>
    </row>
    <row r="15" spans="1:2" x14ac:dyDescent="0.15">
      <c r="A15" t="s">
        <v>48</v>
      </c>
      <c r="B15" s="4">
        <v>233775</v>
      </c>
    </row>
    <row r="18" spans="1:1" x14ac:dyDescent="0.15">
      <c r="A18" t="s">
        <v>50</v>
      </c>
    </row>
    <row r="19" spans="1:1" x14ac:dyDescent="0.15">
      <c r="A19" s="5">
        <v>30.590277777777779</v>
      </c>
    </row>
  </sheetData>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2052" r:id="rId8" name="Button 4">
              <controlPr defaultSize="0" print="0" autoFill="0" autoPict="0" macro="[0]!GeneratePivotTablesKeyMetrics">
                <anchor moveWithCells="1" sizeWithCells="1">
                  <from>
                    <xdr:col>7</xdr:col>
                    <xdr:colOff>12700</xdr:colOff>
                    <xdr:row>1</xdr:row>
                    <xdr:rowOff>12700</xdr:rowOff>
                  </from>
                  <to>
                    <xdr:col>8</xdr:col>
                    <xdr:colOff>711200</xdr:colOff>
                    <xdr:row>3</xdr:row>
                    <xdr:rowOff>12700</xdr:rowOff>
                  </to>
                </anchor>
              </controlPr>
            </control>
          </mc:Choice>
        </mc:AlternateContent>
        <mc:AlternateContent xmlns:mc="http://schemas.openxmlformats.org/markup-compatibility/2006">
          <mc:Choice Requires="x14">
            <control shapeId="2053" r:id="rId9" name="Button 5">
              <controlPr defaultSize="0" print="0" autoFill="0" autoPict="0" macro="[0]!GeneratePivotTablesKeyMetrics">
                <anchor moveWithCells="1" sizeWithCells="1">
                  <from>
                    <xdr:col>7</xdr:col>
                    <xdr:colOff>0</xdr:colOff>
                    <xdr:row>1</xdr:row>
                    <xdr:rowOff>12700</xdr:rowOff>
                  </from>
                  <to>
                    <xdr:col>8</xdr:col>
                    <xdr:colOff>698500</xdr:colOff>
                    <xdr:row>3</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356F3-F3CB-5D47-AE5B-30841AA28AC6}">
  <sheetPr codeName="Sheet4"/>
  <dimension ref="A1:M58"/>
  <sheetViews>
    <sheetView workbookViewId="0">
      <selection activeCell="L6" sqref="L6"/>
    </sheetView>
  </sheetViews>
  <sheetFormatPr baseColWidth="10" defaultRowHeight="14" x14ac:dyDescent="0.15"/>
  <cols>
    <col min="1" max="8" width="12.140625" customWidth="1"/>
    <col min="12" max="12" width="15.28515625" bestFit="1" customWidth="1"/>
    <col min="13" max="13" width="13.5703125" bestFit="1" customWidth="1"/>
    <col min="15" max="15" width="13.28515625" customWidth="1"/>
    <col min="16" max="16" width="12.140625" customWidth="1"/>
  </cols>
  <sheetData>
    <row r="1" spans="1:13" x14ac:dyDescent="0.15">
      <c r="A1" s="3" t="s">
        <v>51</v>
      </c>
      <c r="B1" t="s">
        <v>45</v>
      </c>
      <c r="L1" t="s">
        <v>45</v>
      </c>
    </row>
    <row r="2" spans="1:13" x14ac:dyDescent="0.15">
      <c r="A2" s="6" t="s">
        <v>9</v>
      </c>
      <c r="B2" s="7">
        <v>228445</v>
      </c>
      <c r="L2" s="4">
        <v>1213017.5</v>
      </c>
    </row>
    <row r="3" spans="1:13" x14ac:dyDescent="0.15">
      <c r="A3" s="6" t="s">
        <v>14</v>
      </c>
      <c r="B3" s="7">
        <v>233775</v>
      </c>
    </row>
    <row r="4" spans="1:13" x14ac:dyDescent="0.15">
      <c r="A4" s="6" t="s">
        <v>10</v>
      </c>
      <c r="B4" s="7">
        <v>214362.5</v>
      </c>
    </row>
    <row r="5" spans="1:13" x14ac:dyDescent="0.15">
      <c r="A5" s="6" t="s">
        <v>12</v>
      </c>
      <c r="B5" s="7">
        <v>166550</v>
      </c>
      <c r="L5" t="s">
        <v>46</v>
      </c>
    </row>
    <row r="6" spans="1:13" x14ac:dyDescent="0.15">
      <c r="A6" s="6" t="s">
        <v>13</v>
      </c>
      <c r="B6" s="7">
        <v>181250</v>
      </c>
      <c r="L6" s="8">
        <v>2309850</v>
      </c>
    </row>
    <row r="7" spans="1:13" x14ac:dyDescent="0.15">
      <c r="A7" s="6" t="s">
        <v>11</v>
      </c>
      <c r="B7" s="7">
        <v>188635</v>
      </c>
    </row>
    <row r="8" spans="1:13" x14ac:dyDescent="0.15">
      <c r="A8" s="6" t="s">
        <v>48</v>
      </c>
      <c r="B8" s="7">
        <v>1213017.5</v>
      </c>
    </row>
    <row r="9" spans="1:13" x14ac:dyDescent="0.15">
      <c r="L9" t="s">
        <v>47</v>
      </c>
    </row>
    <row r="10" spans="1:13" x14ac:dyDescent="0.15">
      <c r="L10" s="4">
        <v>0.52309027777777839</v>
      </c>
    </row>
    <row r="11" spans="1:13" x14ac:dyDescent="0.15">
      <c r="A11" s="3" t="s">
        <v>51</v>
      </c>
      <c r="B11" t="s">
        <v>45</v>
      </c>
    </row>
    <row r="12" spans="1:13" x14ac:dyDescent="0.15">
      <c r="A12" s="6" t="s">
        <v>37</v>
      </c>
      <c r="B12" s="7">
        <v>91125</v>
      </c>
    </row>
    <row r="13" spans="1:13" x14ac:dyDescent="0.15">
      <c r="A13" s="6" t="s">
        <v>26</v>
      </c>
      <c r="B13" s="7">
        <v>74312.5</v>
      </c>
      <c r="L13" s="3" t="s">
        <v>49</v>
      </c>
      <c r="M13" t="s">
        <v>45</v>
      </c>
    </row>
    <row r="14" spans="1:13" x14ac:dyDescent="0.15">
      <c r="A14" s="6" t="s">
        <v>27</v>
      </c>
      <c r="B14" s="7">
        <v>86312.5</v>
      </c>
      <c r="L14" t="s">
        <v>14</v>
      </c>
      <c r="M14" s="4">
        <v>233775</v>
      </c>
    </row>
    <row r="15" spans="1:13" x14ac:dyDescent="0.15">
      <c r="A15" s="6" t="s">
        <v>28</v>
      </c>
      <c r="B15" s="7">
        <v>83562.5</v>
      </c>
      <c r="L15" t="s">
        <v>48</v>
      </c>
      <c r="M15" s="4">
        <v>233775</v>
      </c>
    </row>
    <row r="16" spans="1:13" x14ac:dyDescent="0.15">
      <c r="A16" s="6" t="s">
        <v>29</v>
      </c>
      <c r="B16" s="7">
        <v>89637.5</v>
      </c>
    </row>
    <row r="17" spans="1:12" x14ac:dyDescent="0.15">
      <c r="A17" s="6" t="s">
        <v>30</v>
      </c>
      <c r="B17" s="7">
        <v>98707.5</v>
      </c>
    </row>
    <row r="18" spans="1:12" x14ac:dyDescent="0.15">
      <c r="A18" s="6" t="s">
        <v>31</v>
      </c>
      <c r="B18" s="7">
        <v>110125</v>
      </c>
      <c r="L18" t="s">
        <v>50</v>
      </c>
    </row>
    <row r="19" spans="1:12" x14ac:dyDescent="0.15">
      <c r="A19" s="6" t="s">
        <v>32</v>
      </c>
      <c r="B19" s="7">
        <v>114325</v>
      </c>
      <c r="L19" s="5">
        <v>30.590277777777779</v>
      </c>
    </row>
    <row r="20" spans="1:12" x14ac:dyDescent="0.15">
      <c r="A20" s="6" t="s">
        <v>33</v>
      </c>
      <c r="B20" s="7">
        <v>115950</v>
      </c>
    </row>
    <row r="21" spans="1:12" x14ac:dyDescent="0.15">
      <c r="A21" s="6" t="s">
        <v>34</v>
      </c>
      <c r="B21" s="7">
        <v>130300</v>
      </c>
    </row>
    <row r="22" spans="1:12" x14ac:dyDescent="0.15">
      <c r="A22" s="6" t="s">
        <v>35</v>
      </c>
      <c r="B22" s="7">
        <v>84937.5</v>
      </c>
    </row>
    <row r="23" spans="1:12" x14ac:dyDescent="0.15">
      <c r="A23" s="6" t="s">
        <v>36</v>
      </c>
      <c r="B23" s="7">
        <v>133722.5</v>
      </c>
    </row>
    <row r="24" spans="1:12" x14ac:dyDescent="0.15">
      <c r="A24" s="6" t="s">
        <v>48</v>
      </c>
      <c r="B24" s="7">
        <v>1213017.5</v>
      </c>
    </row>
    <row r="27" spans="1:12" x14ac:dyDescent="0.15">
      <c r="A27" s="3" t="s">
        <v>51</v>
      </c>
      <c r="B27" t="s">
        <v>46</v>
      </c>
    </row>
    <row r="28" spans="1:12" x14ac:dyDescent="0.15">
      <c r="A28" s="6" t="s">
        <v>9</v>
      </c>
      <c r="B28" s="7">
        <v>461900</v>
      </c>
    </row>
    <row r="29" spans="1:12" x14ac:dyDescent="0.15">
      <c r="A29" s="6" t="s">
        <v>14</v>
      </c>
      <c r="B29" s="7">
        <v>392750</v>
      </c>
    </row>
    <row r="30" spans="1:12" x14ac:dyDescent="0.15">
      <c r="A30" s="6" t="s">
        <v>10</v>
      </c>
      <c r="B30" s="7">
        <v>413750</v>
      </c>
    </row>
    <row r="31" spans="1:12" x14ac:dyDescent="0.15">
      <c r="A31" s="6" t="s">
        <v>12</v>
      </c>
      <c r="B31" s="7">
        <v>338000</v>
      </c>
    </row>
    <row r="32" spans="1:12" x14ac:dyDescent="0.15">
      <c r="A32" s="6" t="s">
        <v>13</v>
      </c>
      <c r="B32" s="7">
        <v>318750</v>
      </c>
    </row>
    <row r="33" spans="1:8" x14ac:dyDescent="0.15">
      <c r="A33" s="6" t="s">
        <v>11</v>
      </c>
      <c r="B33" s="7">
        <v>384700</v>
      </c>
    </row>
    <row r="34" spans="1:8" x14ac:dyDescent="0.15">
      <c r="A34" s="6" t="s">
        <v>48</v>
      </c>
      <c r="B34" s="7">
        <v>2309850</v>
      </c>
    </row>
    <row r="37" spans="1:8" x14ac:dyDescent="0.15">
      <c r="A37" s="3" t="s">
        <v>51</v>
      </c>
      <c r="B37" t="s">
        <v>45</v>
      </c>
    </row>
    <row r="38" spans="1:8" x14ac:dyDescent="0.15">
      <c r="A38" s="6" t="s">
        <v>25</v>
      </c>
      <c r="B38" s="7">
        <v>582400</v>
      </c>
    </row>
    <row r="39" spans="1:8" x14ac:dyDescent="0.15">
      <c r="A39" s="6" t="s">
        <v>44</v>
      </c>
      <c r="B39" s="7">
        <v>391767.5</v>
      </c>
    </row>
    <row r="40" spans="1:8" x14ac:dyDescent="0.15">
      <c r="A40" s="6" t="s">
        <v>40</v>
      </c>
      <c r="B40" s="7">
        <v>238850</v>
      </c>
    </row>
    <row r="41" spans="1:8" x14ac:dyDescent="0.15">
      <c r="A41" s="6" t="s">
        <v>48</v>
      </c>
      <c r="B41" s="7">
        <v>1213017.5</v>
      </c>
    </row>
    <row r="44" spans="1:8" x14ac:dyDescent="0.15">
      <c r="A44" s="3" t="s">
        <v>47</v>
      </c>
      <c r="B44" s="3" t="s">
        <v>52</v>
      </c>
    </row>
    <row r="45" spans="1:8" x14ac:dyDescent="0.15">
      <c r="A45" s="3" t="s">
        <v>51</v>
      </c>
      <c r="B45" t="s">
        <v>9</v>
      </c>
      <c r="C45" t="s">
        <v>14</v>
      </c>
      <c r="D45" t="s">
        <v>10</v>
      </c>
      <c r="E45" t="s">
        <v>12</v>
      </c>
      <c r="F45" t="s">
        <v>13</v>
      </c>
      <c r="G45" t="s">
        <v>11</v>
      </c>
      <c r="H45" t="s">
        <v>48</v>
      </c>
    </row>
    <row r="46" spans="1:8" x14ac:dyDescent="0.15">
      <c r="A46" s="6" t="s">
        <v>37</v>
      </c>
      <c r="B46" s="7">
        <v>0.56666666666666676</v>
      </c>
      <c r="C46" s="7">
        <v>0.68333333333333324</v>
      </c>
      <c r="D46" s="7">
        <v>0.56666666666666676</v>
      </c>
      <c r="E46" s="7">
        <v>0.53333333333333333</v>
      </c>
      <c r="F46" s="7">
        <v>0.6333333333333333</v>
      </c>
      <c r="G46" s="7">
        <v>0.53333333333333333</v>
      </c>
      <c r="H46" s="7">
        <v>0.58611111111111114</v>
      </c>
    </row>
    <row r="47" spans="1:8" x14ac:dyDescent="0.15">
      <c r="A47" s="6" t="s">
        <v>26</v>
      </c>
      <c r="B47" s="7">
        <v>0.375</v>
      </c>
      <c r="C47" s="7">
        <v>0.45</v>
      </c>
      <c r="D47" s="7">
        <v>0.43333333333333335</v>
      </c>
      <c r="E47" s="7">
        <v>0.4375</v>
      </c>
      <c r="F47" s="7">
        <v>0.51250000000000007</v>
      </c>
      <c r="G47" s="7">
        <v>0.40000000000000008</v>
      </c>
      <c r="H47" s="7">
        <v>0.43636363636363634</v>
      </c>
    </row>
    <row r="48" spans="1:8" x14ac:dyDescent="0.15">
      <c r="A48" s="6" t="s">
        <v>27</v>
      </c>
      <c r="B48" s="7">
        <v>0.375</v>
      </c>
      <c r="C48" s="7">
        <v>0.45</v>
      </c>
      <c r="D48" s="7">
        <v>0.45999999999999996</v>
      </c>
      <c r="E48" s="7">
        <v>0.4375</v>
      </c>
      <c r="F48" s="7">
        <v>0.51250000000000007</v>
      </c>
      <c r="G48" s="7">
        <v>0.44000000000000006</v>
      </c>
      <c r="H48" s="7">
        <v>0.44615384615384612</v>
      </c>
    </row>
    <row r="49" spans="1:8" x14ac:dyDescent="0.15">
      <c r="A49" s="6" t="s">
        <v>28</v>
      </c>
      <c r="B49" s="7">
        <v>0.41249999999999998</v>
      </c>
      <c r="C49" s="7">
        <v>0.48749999999999999</v>
      </c>
      <c r="D49" s="7">
        <v>0.48749999999999999</v>
      </c>
      <c r="E49" s="7">
        <v>0.47499999999999998</v>
      </c>
      <c r="F49" s="7">
        <v>0.55000000000000004</v>
      </c>
      <c r="G49" s="7">
        <v>0.44999999999999996</v>
      </c>
      <c r="H49" s="7">
        <v>0.4770833333333333</v>
      </c>
    </row>
    <row r="50" spans="1:8" x14ac:dyDescent="0.15">
      <c r="A50" s="6" t="s">
        <v>29</v>
      </c>
      <c r="B50" s="7">
        <v>0.46249999999999997</v>
      </c>
      <c r="C50" s="7">
        <v>0.58750000000000002</v>
      </c>
      <c r="D50" s="7">
        <v>0.51249999999999996</v>
      </c>
      <c r="E50" s="7">
        <v>0.47499999999999998</v>
      </c>
      <c r="F50" s="7">
        <v>0.55000000000000004</v>
      </c>
      <c r="G50" s="7">
        <v>0.47499999999999998</v>
      </c>
      <c r="H50" s="7">
        <v>0.51041666666666663</v>
      </c>
    </row>
    <row r="51" spans="1:8" x14ac:dyDescent="0.15">
      <c r="A51" s="6" t="s">
        <v>30</v>
      </c>
      <c r="B51" s="7">
        <v>0.48749999999999993</v>
      </c>
      <c r="C51" s="7">
        <v>0.625</v>
      </c>
      <c r="D51" s="7">
        <v>0.52500000000000002</v>
      </c>
      <c r="E51" s="7">
        <v>0.48749999999999999</v>
      </c>
      <c r="F51" s="7">
        <v>0.55000000000000004</v>
      </c>
      <c r="G51" s="7">
        <v>0.5</v>
      </c>
      <c r="H51" s="7">
        <v>0.52916666666666667</v>
      </c>
    </row>
    <row r="52" spans="1:8" x14ac:dyDescent="0.15">
      <c r="A52" s="6" t="s">
        <v>31</v>
      </c>
      <c r="B52" s="7">
        <v>0.51249999999999996</v>
      </c>
      <c r="C52" s="7">
        <v>0.65</v>
      </c>
      <c r="D52" s="7">
        <v>0.53750000000000009</v>
      </c>
      <c r="E52" s="7">
        <v>0.48749999999999999</v>
      </c>
      <c r="F52" s="7">
        <v>0.55000000000000004</v>
      </c>
      <c r="G52" s="7">
        <v>0.51249999999999996</v>
      </c>
      <c r="H52" s="7">
        <v>0.54166666666666663</v>
      </c>
    </row>
    <row r="53" spans="1:8" x14ac:dyDescent="0.15">
      <c r="A53" s="6" t="s">
        <v>32</v>
      </c>
      <c r="B53" s="7">
        <v>0.51249999999999996</v>
      </c>
      <c r="C53" s="7">
        <v>0.65</v>
      </c>
      <c r="D53" s="7">
        <v>0.53750000000000009</v>
      </c>
      <c r="E53" s="7">
        <v>0.48749999999999999</v>
      </c>
      <c r="F53" s="7">
        <v>0.55000000000000004</v>
      </c>
      <c r="G53" s="7">
        <v>0.51249999999999996</v>
      </c>
      <c r="H53" s="7">
        <v>0.54166666666666663</v>
      </c>
    </row>
    <row r="54" spans="1:8" x14ac:dyDescent="0.15">
      <c r="A54" s="6" t="s">
        <v>33</v>
      </c>
      <c r="B54" s="7">
        <v>0.53749999999999998</v>
      </c>
      <c r="C54" s="7">
        <v>0.65</v>
      </c>
      <c r="D54" s="7">
        <v>0.5625</v>
      </c>
      <c r="E54" s="7">
        <v>0.51249999999999996</v>
      </c>
      <c r="F54" s="7">
        <v>0.6</v>
      </c>
      <c r="G54" s="7">
        <v>0.51249999999999996</v>
      </c>
      <c r="H54" s="7">
        <v>0.5625</v>
      </c>
    </row>
    <row r="55" spans="1:8" x14ac:dyDescent="0.15">
      <c r="A55" s="6" t="s">
        <v>34</v>
      </c>
      <c r="B55" s="7">
        <v>0.51</v>
      </c>
      <c r="C55" s="7">
        <v>0.62</v>
      </c>
      <c r="D55" s="7">
        <v>0.51999999999999991</v>
      </c>
      <c r="E55" s="7">
        <v>0.51</v>
      </c>
      <c r="F55" s="7">
        <v>0.55000000000000004</v>
      </c>
      <c r="G55" s="7">
        <v>0.51</v>
      </c>
      <c r="H55" s="7">
        <v>0.53666666666666674</v>
      </c>
    </row>
    <row r="56" spans="1:8" x14ac:dyDescent="0.15">
      <c r="A56" s="6" t="s">
        <v>35</v>
      </c>
      <c r="B56" s="7">
        <v>0.56666666666666676</v>
      </c>
      <c r="C56" s="7">
        <v>0.68333333333333324</v>
      </c>
      <c r="D56" s="7">
        <v>0.56666666666666676</v>
      </c>
      <c r="E56" s="7">
        <v>0.53333333333333333</v>
      </c>
      <c r="F56" s="7">
        <v>0.6333333333333333</v>
      </c>
      <c r="G56" s="7">
        <v>0.53333333333333333</v>
      </c>
      <c r="H56" s="7">
        <v>0.58611111111111114</v>
      </c>
    </row>
    <row r="57" spans="1:8" x14ac:dyDescent="0.15">
      <c r="A57" s="6" t="s">
        <v>36</v>
      </c>
      <c r="B57" s="7">
        <v>0.52</v>
      </c>
      <c r="C57" s="7">
        <v>0.63000000000000012</v>
      </c>
      <c r="D57" s="7">
        <v>0.51999999999999991</v>
      </c>
      <c r="E57" s="7">
        <v>0.51999999999999991</v>
      </c>
      <c r="F57" s="7">
        <v>0.55999999999999994</v>
      </c>
      <c r="G57" s="7">
        <v>0.51999999999999991</v>
      </c>
      <c r="H57" s="7">
        <v>0.54500000000000004</v>
      </c>
    </row>
    <row r="58" spans="1:8" x14ac:dyDescent="0.15">
      <c r="A58" s="6" t="s">
        <v>48</v>
      </c>
      <c r="B58" s="7">
        <v>0.48437499999999994</v>
      </c>
      <c r="C58" s="7">
        <v>0.5947916666666665</v>
      </c>
      <c r="D58" s="7">
        <v>0.51770833333333355</v>
      </c>
      <c r="E58" s="7">
        <v>0.49062500000000003</v>
      </c>
      <c r="F58" s="7">
        <v>0.55937499999999996</v>
      </c>
      <c r="G58" s="7">
        <v>0.49166666666666675</v>
      </c>
      <c r="H58" s="7">
        <v>0.52309027777777783</v>
      </c>
    </row>
  </sheetData>
  <pageMargins left="0.7" right="0.7" top="0.75" bottom="0.75" header="0.3" footer="0.3"/>
  <drawing r:id="rId11"/>
  <legacyDrawing r:id="rId12"/>
  <mc:AlternateContent xmlns:mc="http://schemas.openxmlformats.org/markup-compatibility/2006">
    <mc:Choice Requires="x14">
      <controls>
        <mc:AlternateContent xmlns:mc="http://schemas.openxmlformats.org/markup-compatibility/2006">
          <mc:Choice Requires="x14">
            <control shapeId="4097" r:id="rId13" name="Button 1">
              <controlPr defaultSize="0" print="0" autoFill="0" autoPict="0" macro="[0]!GeneratePivotTablesAndGraphs">
                <anchor moveWithCells="1" sizeWithCells="1">
                  <from>
                    <xdr:col>7</xdr:col>
                    <xdr:colOff>12700</xdr:colOff>
                    <xdr:row>1</xdr:row>
                    <xdr:rowOff>12700</xdr:rowOff>
                  </from>
                  <to>
                    <xdr:col>8</xdr:col>
                    <xdr:colOff>609600</xdr:colOff>
                    <xdr:row>3</xdr:row>
                    <xdr:rowOff>12700</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BE3746E-8F9E-43A4-88B9-792880CA95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Data</vt:lpstr>
      <vt:lpstr>Pivot</vt:lpstr>
      <vt:lpstr>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Yuliya Yurova</dc:creator>
  <cp:lastModifiedBy>Isabela Beatriz Pascoal Alves dos Santos</cp:lastModifiedBy>
  <dcterms:created xsi:type="dcterms:W3CDTF">2025-02-15T23:17:18Z</dcterms:created>
  <dcterms:modified xsi:type="dcterms:W3CDTF">2025-03-24T01:30:34Z</dcterms:modified>
</cp:coreProperties>
</file>